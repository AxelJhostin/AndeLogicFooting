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17dce5e7794b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dc7c30aa7be943df"/>
    <x:sheet xmlns:r="http://schemas.openxmlformats.org/officeDocument/2006/relationships" name="Entradas" sheetId="2" r:id="R88cf910d716346fa"/>
    <x:sheet xmlns:r="http://schemas.openxmlformats.org/officeDocument/2006/relationships" name="Cálculo completo" sheetId="3" r:id="Rcd4971e040fc43b0"/>
    <x:sheet xmlns:r="http://schemas.openxmlformats.org/officeDocument/2006/relationships" name="Comprobaciones" sheetId="4" r:id="R03118b04739d4f92"/>
    <x:sheet xmlns:r="http://schemas.openxmlformats.org/officeDocument/2006/relationships" name="Trazabilidad" sheetId="5" r:id="R900a50be061b4c19"/>
    <x:sheet xmlns:r="http://schemas.openxmlformats.org/officeDocument/2006/relationships" name="Control" sheetId="6" r:id="R1d693f74cf5f49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0"/>
      <x:color rgb="FF172033"/>
      <x:name val="Aptos"/>
    </x:font>
    <x:font>
      <x:b/>
      <x:sz val="18"/>
      <x:color rgb="FFFFFFFF"/>
      <x:name val="Aptos Display"/>
    </x:font>
    <x:font>
      <x:b/>
      <x:sz val="10"/>
      <x:color rgb="FFFFFFFF"/>
      <x:name val="Aptos"/>
    </x:font>
    <x:font>
      <x:sz val="9"/>
      <x:color rgb="FF334155"/>
      <x:name val="Aptos Mon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FCE8E6"/>
      </x:patternFill>
    </x:fill>
  </x:fills>
  <x:borders count="2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2" borderId="0" xfId="0" applyFont="1" applyFill="1" applyAlignment="1">
      <x:alignment vertical="center"/>
    </x:xf>
    <x:xf numFmtId="0" fontId="2" fillId="2" borderId="0" xfId="0" applyFont="1" applyFill="1"/>
    <x:xf numFmtId="0" fontId="2" fillId="2" borderId="1" xfId="0" applyFont="1" applyFill="1" applyBorder="1" applyAlignment="1">
      <x:alignment vertical="center" wrapText="1"/>
    </x:xf>
    <x:xf numFmtId="4" fontId="0" fillId="6" borderId="1" xfId="0" applyNumberFormat="1" applyFill="1" applyBorder="1"/>
    <x:xf numFmtId="4" fontId="0" fillId="3" borderId="1" xfId="0" applyNumberFormat="1" applyFill="1" applyBorder="1"/>
    <x:xf numFmtId="4" fontId="0" fillId="4" borderId="1" xfId="0" applyNumberFormat="1" applyFill="1" applyBorder="1"/>
    <x:xf numFmtId="0" fontId="0" fillId="5" borderId="1" xfId="0" applyFill="1" applyBorder="1" applyAlignment="1">
      <x:alignment vertical="center" wrapText="1"/>
    </x:xf>
    <x:xf numFmtId="0" fontId="0" fillId="0" borderId="1" xfId="0" applyBorder="1" applyAlignment="1">
      <x:alignment vertical="center" wrapText="1"/>
    </x:xf>
    <x:xf numFmtId="4" fontId="0" fillId="0" borderId="1" xfId="0" applyNumberFormat="1" applyBorder="1"/>
    <x:xf numFmtId="0" fontId="3" fillId="0" borderId="1" xfId="0" applyFont="1" applyBorder="1" applyAlignment="1">
      <x:alignment vertical="center" wrapText="1"/>
    </x:xf>
    <x:xf numFmtId="0" fontId="0" fillId="4" borderId="1" xfId="0" applyFill="1" applyBorder="1" applyAlignment="1">
      <x:alignment horizontal="center" vertical="center"/>
    </x:xf>
    <x:xf numFmtId="0" fontId="0" fillId="6" borderId="1" xfId="0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23f6b0da124731" /><Relationship Type="http://schemas.openxmlformats.org/officeDocument/2006/relationships/theme" Target="/xl/theme/theme1.xml" Id="Rbb3fb65410f74c25" /><Relationship Type="http://schemas.openxmlformats.org/officeDocument/2006/relationships/sharedStrings" Target="/xl/sharedStrings.xml" Id="R35f8328f91e348bb" /><Relationship Type="http://schemas.openxmlformats.org/officeDocument/2006/relationships/worksheet" Target="/xl/worksheets/sheet1.xml" Id="Rdc7c30aa7be943df" /><Relationship Type="http://schemas.openxmlformats.org/officeDocument/2006/relationships/worksheet" Target="/xl/worksheets/sheet2.xml" Id="R88cf910d716346fa" /><Relationship Type="http://schemas.openxmlformats.org/officeDocument/2006/relationships/worksheet" Target="/xl/worksheets/sheet3.xml" Id="Rcd4971e040fc43b0" /><Relationship Type="http://schemas.openxmlformats.org/officeDocument/2006/relationships/worksheet" Target="/xl/worksheets/sheet4.xml" Id="R03118b04739d4f92" /><Relationship Type="http://schemas.openxmlformats.org/officeDocument/2006/relationships/worksheet" Target="/xl/worksheets/sheet5.xml" Id="R900a50be061b4c19" /><Relationship Type="http://schemas.openxmlformats.org/officeDocument/2006/relationships/worksheet" Target="/xl/worksheets/sheet6.xml" Id="R1d693f74cf5f49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8"/>
  <x:cols>
    <x:col min="1" max="1" width="23" customWidth="1"/>
    <x:col min="2" max="2" width="28" customWidth="1"/>
    <x:col min="3" max="3" width="3" customWidth="1"/>
    <x:col min="4" max="4" width="3" customWidth="1"/>
    <x:col min="5" max="5" width="21" customWidth="1"/>
    <x:col min="6" max="6" width="36" customWidth="1"/>
    <x:col min="7" max="7" width="3" customWidth="1"/>
    <x:col min="8" max="8" width="3" customWidth="1"/>
  </x:cols>
  <x:sheetData>
    <x:row r="1" ht="28" customHeight="1">
      <x:c r="A1" s="1" t="inlineStr">
        <x:is>
          <x:t xml:space="preserve">ANDELOGIC ZAPATAS · MEMORIA EXCEL AUDITABLE</x:t>
        </x:is>
      </x:c>
    </x:row>
    <x:row r="3">
      <x:c r="A3" s="3" t="inlineStr">
        <x:is>
          <x:t xml:space="preserve">Proyecto</x:t>
        </x:is>
      </x:c>
      <x:c r="B3" s="8" t="inlineStr">
        <x:is>
          <x:t xml:space="preserve">Aislada rectangular · referencia</x:t>
        </x:is>
      </x:c>
      <x:c r="E3" s="3" t="inlineStr">
        <x:is>
          <x:t xml:space="preserve">Estado del libro</x:t>
        </x:is>
      </x:c>
      <x:c r="F3" s="11" t="str">
        <x:f>IF('Control'!$B$10="Sin cambios","ORIGINAL EXPORTADO","MODIFICADO")</x:f>
        <x:v>ORIGINAL EXPORTADO</x:v>
      </x:c>
    </x:row>
    <x:row r="4">
      <x:c r="A4" s="3" t="inlineStr">
        <x:is>
          <x:t xml:space="preserve">Tipología</x:t>
        </x:is>
      </x:c>
      <x:c r="B4" s="8" t="inlineStr">
        <x:is>
          <x:t xml:space="preserve">Zapata aislada rectangular centrada</x:t>
        </x:is>
      </x:c>
      <x:c r="E4" s="3" t="inlineStr">
        <x:is>
          <x:t xml:space="preserve">Perfil</x:t>
        </x:is>
      </x:c>
      <x:c r="F4" s="8" t="inlineStr">
        <x:is>
          <x:t xml:space="preserve">Ecuador · NEC 2015 — guía práctica trazable</x:t>
        </x:is>
      </x:c>
    </x:row>
    <x:row r="5">
      <x:c r="A5" s="3" t="inlineStr">
        <x:is>
          <x:t xml:space="preserve">ID de proyecto</x:t>
        </x:is>
      </x:c>
      <x:c r="B5" s="8" t="inlineStr">
        <x:is>
          <x:t xml:space="preserve">cffa58c7-8681-45eb-817d-0b886acc82d3</x:t>
        </x:is>
      </x:c>
      <x:c r="E5" s="3" t="inlineStr">
        <x:is>
          <x:t xml:space="preserve">Estado técnico</x:t>
        </x:is>
      </x:c>
      <x:c r="F5" s="7" t="inlineStr">
        <x:is>
          <x:t xml:space="preserve">pending-review</x:t>
        </x:is>
      </x:c>
    </x:row>
    <x:row r="6">
      <x:c r="A6" s="3" t="inlineStr">
        <x:is>
          <x:t xml:space="preserve">Generado</x:t>
        </x:is>
      </x:c>
      <x:c r="B6" s="8" t="inlineStr">
        <x:is>
          <x:t xml:space="preserve">2026-08-30T12:00:00.000Z</x:t>
        </x:is>
      </x:c>
      <x:c r="E6" s="3" t="inlineStr">
        <x:is>
          <x:t xml:space="preserve">Versión de motor</x:t>
        </x:is>
      </x:c>
      <x:c r="F6" s="8" t="inlineStr">
        <x:is>
          <x:t xml:space="preserve">not-implemented</x:t>
        </x:is>
      </x:c>
    </x:row>
    <x:row r="8" ht="24" customHeight="1">
      <x:c r="A8" s="2" t="inlineStr">
        <x:is>
          <x:t xml:space="preserve">Cómo usar este libro</x:t>
        </x:is>
      </x:c>
    </x:row>
    <x:row r="9" ht="36" customHeight="1">
      <x:c r="A9" s="8" t="inlineStr">
        <x:is>
          <x:t xml:space="preserve">Edite únicamente la columna azul de Entradas. Excel recalcula la cadena visible; el valor original de AndeLogic permanece al lado para auditar diferencias.</x:t>
        </x:is>
      </x:c>
    </x:row>
    <x:row r="11" ht="24" customHeight="1">
      <x:c r="A11" s="2" t="inlineStr">
        <x:is>
          <x:t xml:space="preserve">Advertencia de liberación</x:t>
        </x:is>
      </x:c>
    </x:row>
    <x:row r="12" ht="42" customHeight="1">
      <x:c r="A12" s="7" t="inlineStr">
        <x:is>
          <x:t xml:space="preserve">El perfil identifica fuentes y condiciones de cada módulo, pero aún requiere contraste independiente de casos y revisión profesional antes de declarar cumplimiento normativo.</x:t>
        </x:is>
      </x:c>
    </x:row>
    <x:row r="14" ht="24" customHeight="1">
      <x:c r="A14" s="2" t="inlineStr">
        <x:is>
          <x:t xml:space="preserve">Límites del ejercicio</x:t>
        </x:is>
      </x:c>
    </x:row>
    <x:row r="15" ht="30" customHeight="1">
      <x:c r="A15" s="8" t="inlineStr">
        <x:is>
          <x:t xml:space="preserve">• Los resultados de referencia permanecen en validación y no son una liberación normativa NEC.</x:t>
        </x:is>
      </x:c>
    </x:row>
    <x:row r="16" ht="30" customHeight="1">
      <x:c r="A16" s="8" t="inlineStr">
        <x:is>
          <x:t xml:space="preserve">• La capacidad admisible y los asentamientos dependen del estudio geotécnico aplicable.</x:t>
        </x:is>
      </x:c>
    </x:row>
    <x:row r="17" ht="30" customHeight="1">
      <x:c r="A17" s="8" t="inlineStr">
        <x:is>
          <x:t xml:space="preserve">• El alcance excluye excentricidad, presión no uniforme, zapatas combinadas, corridas y losas.</x:t>
        </x:is>
      </x:c>
    </x:row>
    <x:row r="18" ht="30" customHeight="1">
      <x:c r="A18" s="8" t="inlineStr">
        <x:is>
          <x:t xml:space="preserve">• Las demandas se calculan internamente; las resistencias disponibles se presentan como referencias de guía trazables y no como aprobación normativa.</x:t>
        </x:is>
      </x:c>
    </x:row>
  </x:sheetData>
  <x:mergeCells>
    <x:mergeCell ref="A1:H1"/>
    <x:mergeCell ref="B3:D3"/>
    <x:mergeCell ref="F3:H3"/>
    <x:mergeCell ref="B4:D4"/>
    <x:mergeCell ref="F4:H4"/>
    <x:mergeCell ref="B5:D5"/>
    <x:mergeCell ref="F5:H5"/>
    <x:mergeCell ref="B6:D6"/>
    <x:mergeCell ref="F6:H6"/>
    <x:mergeCell ref="A8:H8"/>
    <x:mergeCell ref="A9:H10"/>
    <x:mergeCell ref="A11:H11"/>
    <x:mergeCell ref="A12:H13"/>
    <x:mergeCell ref="A14:H14"/>
    <x:mergeCell ref="A15:H15"/>
    <x:mergeCell ref="A16:H16"/>
    <x:mergeCell ref="A17:H17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8"/>
  <x:cols>
    <x:col min="1" max="1" width="34" customWidth="1"/>
    <x:col min="2" max="2" width="42" customWidth="1"/>
    <x:col min="3" max="3" width="18" customWidth="1"/>
    <x:col min="4" max="4" width="20" customWidth="1"/>
    <x:col min="5" max="5" width="12" customWidth="1"/>
    <x:col min="6" max="6" width="15" customWidth="1"/>
  </x:cols>
  <x:sheetData>
    <x:row r="1" ht="28" customHeight="1">
      <x:c r="A1" s="1" t="inlineStr">
        <x:is>
          <x:t xml:space="preserve">ENTRADAS · ORIGINAL Y ESCENARIO EDITABLE</x:t>
        </x:is>
      </x:c>
    </x:row>
    <x:row r="3" ht="34" customHeight="1">
      <x:c r="A3" s="8" t="inlineStr">
        <x:is>
          <x:t xml:space="preserve">Las fórmulas leen la columna D. Los identificadores y etiquetas no deben cambiarse; los valores originales permanecen en C.</x:t>
        </x:is>
      </x:c>
    </x:row>
    <x:row r="5" ht="24" customHeight="1">
      <x:c r="A5" s="3" t="inlineStr">
        <x:is>
          <x:t xml:space="preserve">ID</x:t>
        </x:is>
      </x:c>
      <x:c r="B5" s="3" t="inlineStr">
        <x:is>
          <x:t xml:space="preserve">Dato</x:t>
        </x:is>
      </x:c>
      <x:c r="C5" s="3" t="inlineStr">
        <x:is>
          <x:t xml:space="preserve">Original AndeLogic</x:t>
        </x:is>
      </x:c>
      <x:c r="D5" s="3" t="inlineStr">
        <x:is>
          <x:t xml:space="preserve">Editable / escenario</x:t>
        </x:is>
      </x:c>
      <x:c r="E5" s="3" t="inlineStr">
        <x:is>
          <x:t xml:space="preserve">Unidad</x:t>
        </x:is>
      </x:c>
      <x:c r="F5" s="3" t="inlineStr">
        <x:is>
          <x:t xml:space="preserve">Control</x:t>
        </x:is>
      </x:c>
    </x:row>
    <x:row r="6">
      <x:c r="A6" s="8" t="inlineStr">
        <x:is>
          <x:t xml:space="preserve">axialLoadKn</x:t>
        </x:is>
      </x:c>
      <x:c r="B6" s="8" t="inlineStr">
        <x:is>
          <x:t xml:space="preserve">Carga de servicio centrada</x:t>
        </x:is>
      </x:c>
      <x:c r="C6" s="4">
        <x:v>450</x:v>
      </x:c>
      <x:c r="D6" s="5">
        <x:v>450</x:v>
      </x:c>
      <x:c r="E6" s="8" t="inlineStr">
        <x:is>
          <x:t xml:space="preserve">kN</x:t>
        </x:is>
      </x:c>
      <x:c r="F6" s="11" t="str">
        <x:f>IF(C6=D6,"Original","Modificada")</x:f>
        <x:v>Original</x:v>
      </x:c>
    </x:row>
    <x:row r="7">
      <x:c r="A7" s="8" t="inlineStr">
        <x:is>
          <x:t xml:space="preserve">factoredAxialLoadKn</x:t>
        </x:is>
      </x:c>
      <x:c r="B7" s="8" t="inlineStr">
        <x:is>
          <x:t xml:space="preserve">Carga axial última declarada</x:t>
        </x:is>
      </x:c>
      <x:c r="C7" s="4">
        <x:v>900</x:v>
      </x:c>
      <x:c r="D7" s="5">
        <x:v>900</x:v>
      </x:c>
      <x:c r="E7" s="8" t="inlineStr">
        <x:is>
          <x:t xml:space="preserve">kN</x:t>
        </x:is>
      </x:c>
      <x:c r="F7" s="11" t="str">
        <x:f>IF(C7=D7,"Original","Modificada")</x:f>
        <x:v>Original</x:v>
      </x:c>
    </x:row>
    <x:row r="8">
      <x:c r="A8" s="8" t="inlineStr">
        <x:is>
          <x:t xml:space="preserve">allowableBearingKpa</x:t>
        </x:is>
      </x:c>
      <x:c r="B8" s="8" t="inlineStr">
        <x:is>
          <x:t xml:space="preserve">Capacidad admisible declarada</x:t>
        </x:is>
      </x:c>
      <x:c r="C8" s="4">
        <x:v>180</x:v>
      </x:c>
      <x:c r="D8" s="5">
        <x:v>180</x:v>
      </x:c>
      <x:c r="E8" s="8" t="inlineStr">
        <x:is>
          <x:t xml:space="preserve">kPa</x:t>
        </x:is>
      </x:c>
      <x:c r="F8" s="11" t="str">
        <x:f>IF(C8=D8,"Original","Modificada")</x:f>
        <x:v>Original</x:v>
      </x:c>
    </x:row>
    <x:row r="9">
      <x:c r="A9" s="8" t="inlineStr">
        <x:is>
          <x:t xml:space="preserve">bearingCapacityBasis</x:t>
        </x:is>
      </x:c>
      <x:c r="B9" s="8" t="inlineStr">
        <x:is>
          <x:t xml:space="preserve">Base de capacidad declarada</x:t>
        </x:is>
      </x:c>
      <x:c r="C9" s="4" t="inlineStr">
        <x:is>
          <x:t xml:space="preserve">gross</x:t>
        </x:is>
      </x:c>
      <x:c r="D9" s="5" t="inlineStr">
        <x:is>
          <x:t xml:space="preserve">gross</x:t>
        </x:is>
      </x:c>
      <x:c r="E9" s="8" t="inlineStr">
        <x:is>
          <x:t xml:space="preserve"/>
        </x:is>
      </x:c>
      <x:c r="F9" s="11" t="str">
        <x:f>IF(C9=D9,"Original","Modificada")</x:f>
        <x:v>Original</x:v>
      </x:c>
    </x:row>
    <x:row r="10">
      <x:c r="A10" s="8" t="inlineStr">
        <x:is>
          <x:t xml:space="preserve">removedOverburdenKpa</x:t>
        </x:is>
      </x:c>
      <x:c r="B10" s="8" t="inlineStr">
        <x:is>
          <x:t xml:space="preserve">Esfuerzo geoestático removido</x:t>
        </x:is>
      </x:c>
      <x:c r="C10" s="4">
        <x:v>0</x:v>
      </x:c>
      <x:c r="D10" s="5">
        <x:v>0</x:v>
      </x:c>
      <x:c r="E10" s="8" t="inlineStr">
        <x:is>
          <x:t xml:space="preserve">kPa</x:t>
        </x:is>
      </x:c>
      <x:c r="F10" s="11" t="str">
        <x:f>IF(C10=D10,"Original","Modificada")</x:f>
        <x:v>Original</x:v>
      </x:c>
    </x:row>
    <x:row r="11">
      <x:c r="A11" s="8" t="inlineStr">
        <x:is>
          <x:t xml:space="preserve">concreteUnitWeightKnM3</x:t>
        </x:is>
      </x:c>
      <x:c r="B11" s="8" t="inlineStr">
        <x:is>
          <x:t xml:space="preserve">Peso unitario del hormigón</x:t>
        </x:is>
      </x:c>
      <x:c r="C11" s="4">
        <x:v>24</x:v>
      </x:c>
      <x:c r="D11" s="5">
        <x:v>24</x:v>
      </x:c>
      <x:c r="E11" s="8" t="inlineStr">
        <x:is>
          <x:t xml:space="preserve">kN/m³</x:t>
        </x:is>
      </x:c>
      <x:c r="F11" s="11" t="str">
        <x:f>IF(C11=D11,"Original","Modificada")</x:f>
        <x:v>Original</x:v>
      </x:c>
    </x:row>
    <x:row r="12">
      <x:c r="A12" s="8" t="inlineStr">
        <x:is>
          <x:t xml:space="preserve">soilCoverDepthM</x:t>
        </x:is>
      </x:c>
      <x:c r="B12" s="8" t="inlineStr">
        <x:is>
          <x:t xml:space="preserve">Altura de relleno sobre la cimentación</x:t>
        </x:is>
      </x:c>
      <x:c r="C12" s="4">
        <x:v>0</x:v>
      </x:c>
      <x:c r="D12" s="5">
        <x:v>0</x:v>
      </x:c>
      <x:c r="E12" s="8" t="inlineStr">
        <x:is>
          <x:t xml:space="preserve">m</x:t>
        </x:is>
      </x:c>
      <x:c r="F12" s="11" t="str">
        <x:f>IF(C12=D12,"Original","Modificada")</x:f>
        <x:v>Original</x:v>
      </x:c>
    </x:row>
    <x:row r="13">
      <x:c r="A13" s="8" t="inlineStr">
        <x:is>
          <x:t xml:space="preserve">soilUnitWeightKnM3</x:t>
        </x:is>
      </x:c>
      <x:c r="B13" s="8" t="inlineStr">
        <x:is>
          <x:t xml:space="preserve">Peso unitario del relleno</x:t>
        </x:is>
      </x:c>
      <x:c r="C13" s="4">
        <x:v>0</x:v>
      </x:c>
      <x:c r="D13" s="5">
        <x:v>0</x:v>
      </x:c>
      <x:c r="E13" s="8" t="inlineStr">
        <x:is>
          <x:t xml:space="preserve">kN/m³</x:t>
        </x:is>
      </x:c>
      <x:c r="F13" s="11" t="str">
        <x:f>IF(C13=D13,"Original","Modificada")</x:f>
        <x:v>Original</x:v>
      </x:c>
    </x:row>
    <x:row r="14">
      <x:c r="A14" s="8" t="inlineStr">
        <x:is>
          <x:t xml:space="preserve">columnWidthM</x:t>
        </x:is>
      </x:c>
      <x:c r="B14" s="8" t="inlineStr">
        <x:is>
          <x:t xml:space="preserve">Ancho de columna</x:t>
        </x:is>
      </x:c>
      <x:c r="C14" s="4">
        <x:v>0.4</x:v>
      </x:c>
      <x:c r="D14" s="5">
        <x:v>0.4</x:v>
      </x:c>
      <x:c r="E14" s="8" t="inlineStr">
        <x:is>
          <x:t xml:space="preserve">m</x:t>
        </x:is>
      </x:c>
      <x:c r="F14" s="11" t="str">
        <x:f>IF(C14=D14,"Original","Modificada")</x:f>
        <x:v>Original</x:v>
      </x:c>
    </x:row>
    <x:row r="15">
      <x:c r="A15" s="8" t="inlineStr">
        <x:is>
          <x:t xml:space="preserve">columnLengthM</x:t>
        </x:is>
      </x:c>
      <x:c r="B15" s="8" t="inlineStr">
        <x:is>
          <x:t xml:space="preserve">Largo de columna</x:t>
        </x:is>
      </x:c>
      <x:c r="C15" s="4">
        <x:v>0.6</x:v>
      </x:c>
      <x:c r="D15" s="5">
        <x:v>0.6</x:v>
      </x:c>
      <x:c r="E15" s="8" t="inlineStr">
        <x:is>
          <x:t xml:space="preserve">m</x:t>
        </x:is>
      </x:c>
      <x:c r="F15" s="11" t="str">
        <x:f>IF(C15=D15,"Original","Modificada")</x:f>
        <x:v>Original</x:v>
      </x:c>
    </x:row>
    <x:row r="16">
      <x:c r="A16" s="8" t="inlineStr">
        <x:is>
          <x:t xml:space="preserve">footingWidthM</x:t>
        </x:is>
      </x:c>
      <x:c r="B16" s="8" t="inlineStr">
        <x:is>
          <x:t xml:space="preserve">Ancho de zapata</x:t>
        </x:is>
      </x:c>
      <x:c r="C16" s="4">
        <x:v>2</x:v>
      </x:c>
      <x:c r="D16" s="5">
        <x:v>2</x:v>
      </x:c>
      <x:c r="E16" s="8" t="inlineStr">
        <x:is>
          <x:t xml:space="preserve">m</x:t>
        </x:is>
      </x:c>
      <x:c r="F16" s="11" t="str">
        <x:f>IF(C16=D16,"Original","Modificada")</x:f>
        <x:v>Original</x:v>
      </x:c>
    </x:row>
    <x:row r="17">
      <x:c r="A17" s="8" t="inlineStr">
        <x:is>
          <x:t xml:space="preserve">footingLengthM</x:t>
        </x:is>
      </x:c>
      <x:c r="B17" s="8" t="inlineStr">
        <x:is>
          <x:t xml:space="preserve">Largo de zapata</x:t>
        </x:is>
      </x:c>
      <x:c r="C17" s="4">
        <x:v>3</x:v>
      </x:c>
      <x:c r="D17" s="5">
        <x:v>3</x:v>
      </x:c>
      <x:c r="E17" s="8" t="inlineStr">
        <x:is>
          <x:t xml:space="preserve">m</x:t>
        </x:is>
      </x:c>
      <x:c r="F17" s="11" t="str">
        <x:f>IF(C17=D17,"Original","Modificada")</x:f>
        <x:v>Original</x:v>
      </x:c>
    </x:row>
    <x:row r="18">
      <x:c r="A18" s="8" t="inlineStr">
        <x:is>
          <x:t xml:space="preserve">footingThicknessM</x:t>
        </x:is>
      </x:c>
      <x:c r="B18" s="8" t="inlineStr">
        <x:is>
          <x:t xml:space="preserve">Espesor de zapata</x:t>
        </x:is>
      </x:c>
      <x:c r="C18" s="4">
        <x:v>0.5</x:v>
      </x:c>
      <x:c r="D18" s="5">
        <x:v>0.5</x:v>
      </x:c>
      <x:c r="E18" s="8" t="inlineStr">
        <x:is>
          <x:t xml:space="preserve">m</x:t>
        </x:is>
      </x:c>
      <x:c r="F18" s="11" t="str">
        <x:f>IF(C18=D18,"Original","Modificada")</x:f>
        <x:v>Original</x:v>
      </x:c>
    </x:row>
    <x:row r="19">
      <x:c r="A19" s="8" t="inlineStr">
        <x:is>
          <x:t xml:space="preserve">concreteCoverM</x:t>
        </x:is>
      </x:c>
      <x:c r="B19" s="8" t="inlineStr">
        <x:is>
          <x:t xml:space="preserve">Recubrimiento del acero</x:t>
        </x:is>
      </x:c>
      <x:c r="C19" s="4">
        <x:v>0.075</x:v>
      </x:c>
      <x:c r="D19" s="5">
        <x:v>0.075</x:v>
      </x:c>
      <x:c r="E19" s="8" t="inlineStr">
        <x:is>
          <x:t xml:space="preserve">m</x:t>
        </x:is>
      </x:c>
      <x:c r="F19" s="11" t="str">
        <x:f>IF(C19=D19,"Original","Modificada")</x:f>
        <x:v>Original</x:v>
      </x:c>
    </x:row>
    <x:row r="20">
      <x:c r="A20" s="8" t="inlineStr">
        <x:is>
          <x:t xml:space="preserve">barDiameterM</x:t>
        </x:is>
      </x:c>
      <x:c r="B20" s="8" t="inlineStr">
        <x:is>
          <x:t xml:space="preserve">Diámetro de barra</x:t>
        </x:is>
      </x:c>
      <x:c r="C20" s="4">
        <x:v>0.016</x:v>
      </x:c>
      <x:c r="D20" s="5">
        <x:v>0.016</x:v>
      </x:c>
      <x:c r="E20" s="8" t="inlineStr">
        <x:is>
          <x:t xml:space="preserve">m</x:t>
        </x:is>
      </x:c>
      <x:c r="F20" s="11" t="str">
        <x:f>IF(C20=D20,"Original","Modificada")</x:f>
        <x:v>Original</x:v>
      </x:c>
    </x:row>
    <x:row r="21">
      <x:c r="A21" s="8" t="inlineStr">
        <x:is>
          <x:t xml:space="preserve">concreteStrengthMpa</x:t>
        </x:is>
      </x:c>
      <x:c r="B21" s="8" t="inlineStr">
        <x:is>
          <x:t xml:space="preserve">Resistencia del hormigón f′c</x:t>
        </x:is>
      </x:c>
      <x:c r="C21" s="4">
        <x:v>23.54</x:v>
      </x:c>
      <x:c r="D21" s="5">
        <x:v>23.54</x:v>
      </x:c>
      <x:c r="E21" s="8" t="inlineStr">
        <x:is>
          <x:t xml:space="preserve">MPa</x:t>
        </x:is>
      </x:c>
      <x:c r="F21" s="11" t="str">
        <x:f>IF(C21=D21,"Original","Modificada")</x:f>
        <x:v>Original</x:v>
      </x:c>
    </x:row>
    <x:row r="22">
      <x:c r="A22" s="8" t="inlineStr">
        <x:is>
          <x:t xml:space="preserve">steelYieldStrengthMpa</x:t>
        </x:is>
      </x:c>
      <x:c r="B22" s="8" t="inlineStr">
        <x:is>
          <x:t xml:space="preserve">Fluencia del acero fy</x:t>
        </x:is>
      </x:c>
      <x:c r="C22" s="4">
        <x:v>412.08</x:v>
      </x:c>
      <x:c r="D22" s="5">
        <x:v>412.08</x:v>
      </x:c>
      <x:c r="E22" s="8" t="inlineStr">
        <x:is>
          <x:t xml:space="preserve">MPa</x:t>
        </x:is>
      </x:c>
      <x:c r="F22" s="11" t="str">
        <x:f>IF(C22=D22,"Original","Modificada")</x:f>
        <x:v>Original</x:v>
      </x:c>
    </x:row>
    <x:row r="23">
      <x:c r="A23" s="8" t="inlineStr">
        <x:is>
          <x:t xml:space="preserve">developmentAvailableLengthWidthM</x:t>
        </x:is>
      </x:c>
      <x:c r="B23" s="8" t="inlineStr">
        <x:is>
          <x:t xml:space="preserve">Desarrollo disponible en dirección B</x:t>
        </x:is>
      </x:c>
      <x:c r="C23" s="4">
        <x:v>1.3</x:v>
      </x:c>
      <x:c r="D23" s="5">
        <x:v>1.3</x:v>
      </x:c>
      <x:c r="E23" s="8" t="inlineStr">
        <x:is>
          <x:t xml:space="preserve">m</x:t>
        </x:is>
      </x:c>
      <x:c r="F23" s="11" t="str">
        <x:f>IF(C23=D23,"Original","Modificada")</x:f>
        <x:v>Original</x:v>
      </x:c>
    </x:row>
    <x:row r="24">
      <x:c r="A24" s="8" t="inlineStr">
        <x:is>
          <x:t xml:space="preserve">developmentAvailableLengthLengthM</x:t>
        </x:is>
      </x:c>
      <x:c r="B24" s="8" t="inlineStr">
        <x:is>
          <x:t xml:space="preserve">Desarrollo disponible en dirección L</x:t>
        </x:is>
      </x:c>
      <x:c r="C24" s="4">
        <x:v>1.3</x:v>
      </x:c>
      <x:c r="D24" s="5">
        <x:v>1.3</x:v>
      </x:c>
      <x:c r="E24" s="8" t="inlineStr">
        <x:is>
          <x:t xml:space="preserve">m</x:t>
        </x:is>
      </x:c>
      <x:c r="F24" s="11" t="str">
        <x:f>IF(C24=D24,"Original","Modificada")</x:f>
        <x:v>Original</x:v>
      </x:c>
    </x:row>
    <x:row r="25">
      <x:c r="A25" s="8" t="inlineStr">
        <x:is>
          <x:t xml:space="preserve">punchingCriticalSectionOffsetM</x:t>
        </x:is>
      </x:c>
      <x:c r="B25" s="8" t="inlineStr">
        <x:is>
          <x:t xml:space="preserve">Separación declarada de la sección crítica de punzonamiento</x:t>
        </x:is>
      </x:c>
      <x:c r="C25" s="4">
        <x:v>0.21</x:v>
      </x:c>
      <x:c r="D25" s="5">
        <x:v>0.21</x:v>
      </x:c>
      <x:c r="E25" s="8" t="inlineStr">
        <x:is>
          <x:t xml:space="preserve">m</x:t>
        </x:is>
      </x:c>
      <x:c r="F25" s="11" t="str">
        <x:f>IF(C25=D25,"Original","Modificada")</x:f>
        <x:v>Original</x:v>
      </x:c>
    </x:row>
    <x:row r="26">
      <x:c r="A26" s="8" t="inlineStr">
        <x:is>
          <x:t xml:space="preserve">barsParallelToWidthMaxSpacingM</x:t>
        </x:is>
      </x:c>
      <x:c r="B26" s="8" t="inlineStr">
        <x:is>
          <x:t xml:space="preserve">Separación máxima de barras paralelas a B</x:t>
        </x:is>
      </x:c>
      <x:c r="C26" s="4">
        <x:v>0.15</x:v>
      </x:c>
      <x:c r="D26" s="5">
        <x:v>0.15</x:v>
      </x:c>
      <x:c r="E26" s="8" t="inlineStr">
        <x:is>
          <x:t xml:space="preserve">m</x:t>
        </x:is>
      </x:c>
      <x:c r="F26" s="11" t="str">
        <x:f>IF(C26=D26,"Original","Modificada")</x:f>
        <x:v>Original</x:v>
      </x:c>
    </x:row>
    <x:row r="27">
      <x:c r="A27" s="8" t="inlineStr">
        <x:is>
          <x:t xml:space="preserve">barsParallelToLengthMaxSpacingM</x:t>
        </x:is>
      </x:c>
      <x:c r="B27" s="8" t="inlineStr">
        <x:is>
          <x:t xml:space="preserve">Separación máxima de barras paralelas a L</x:t>
        </x:is>
      </x:c>
      <x:c r="C27" s="4">
        <x:v>0.15</x:v>
      </x:c>
      <x:c r="D27" s="5">
        <x:v>0.15</x:v>
      </x:c>
      <x:c r="E27" s="8" t="inlineStr">
        <x:is>
          <x:t xml:space="preserve">m</x:t>
        </x:is>
      </x:c>
      <x:c r="F27" s="11" t="str">
        <x:f>IF(C27=D27,"Original","Modificada")</x:f>
        <x:v>Original</x:v>
      </x:c>
    </x:row>
  </x:sheetData>
  <x:mergeCells>
    <x:mergeCell ref="A1:F1"/>
    <x:mergeCell ref="A3:F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8"/>
  <x:cols>
    <x:col min="1" max="1" width="8" customWidth="1"/>
    <x:col min="2" max="2" width="16" customWidth="1"/>
    <x:col min="3" max="3" width="32" customWidth="1"/>
    <x:col min="4" max="4" width="34" customWidth="1"/>
    <x:col min="5" max="5" width="44" customWidth="1"/>
    <x:col min="6" max="6" width="20" customWidth="1"/>
    <x:col min="7" max="7" width="12" customWidth="1"/>
    <x:col min="8" max="8" width="18" customWidth="1"/>
    <x:col min="9" max="9" width="15" customWidth="1"/>
    <x:col min="10" max="10" width="15" customWidth="1"/>
    <x:col min="11" max="11" width="44" customWidth="1"/>
    <x:col min="12" max="12" width="38" customWidth="1"/>
  </x:cols>
  <x:sheetData>
    <x:row r="1" ht="28" customHeight="1">
      <x:c r="A1" s="1" t="inlineStr">
        <x:is>
          <x:t xml:space="preserve">CÁLCULO COMPLETO · FÓRMULAS Y CONTRASTE</x:t>
        </x:is>
      </x:c>
    </x:row>
    <x:row r="3" ht="38" customHeight="1">
      <x:c r="A3" s="8" t="inlineStr">
        <x:is>
          <x:t xml:space="preserve">F contiene la fórmula viva. H conserva el resultado original del motor; I muestra la diferencia, J controla consistencia y K conserva la fórmula exportada.</x:t>
        </x:is>
      </x:c>
    </x:row>
    <x:row r="5" ht="32" customHeight="1">
      <x:c r="A5" s="3" t="inlineStr">
        <x:is>
          <x:t xml:space="preserve">Paso</x:t>
        </x:is>
      </x:c>
      <x:c r="B5" s="3" t="inlineStr">
        <x:is>
          <x:t xml:space="preserve">Sección</x:t>
        </x:is>
      </x:c>
      <x:c r="C5" s="3" t="inlineStr">
        <x:is>
          <x:t xml:space="preserve">Variable</x:t>
        </x:is>
      </x:c>
      <x:c r="D5" s="3" t="inlineStr">
        <x:is>
          <x:t xml:space="preserve">Expresión</x:t>
        </x:is>
      </x:c>
      <x:c r="E5" s="3" t="inlineStr">
        <x:is>
          <x:t xml:space="preserve">Fórmula visible</x:t>
        </x:is>
      </x:c>
      <x:c r="F5" s="3" t="inlineStr">
        <x:is>
          <x:t xml:space="preserve">Resultado recalculado</x:t>
        </x:is>
      </x:c>
      <x:c r="G5" s="3" t="inlineStr">
        <x:is>
          <x:t xml:space="preserve">Unidad</x:t>
        </x:is>
      </x:c>
      <x:c r="H5" s="3" t="inlineStr">
        <x:is>
          <x:t xml:space="preserve">Original AndeLogic</x:t>
        </x:is>
      </x:c>
      <x:c r="I5" s="3" t="inlineStr">
        <x:is>
          <x:t xml:space="preserve">Diferencia</x:t>
        </x:is>
      </x:c>
      <x:c r="J5" s="3" t="inlineStr">
        <x:is>
          <x:t xml:space="preserve">Consistencia</x:t>
        </x:is>
      </x:c>
      <x:c r="K5" s="3" t="inlineStr">
        <x:is>
          <x:t xml:space="preserve">Fórmula original</x:t>
        </x:is>
      </x:c>
      <x:c r="L5" s="3" t="inlineStr">
        <x:is>
          <x:t xml:space="preserve">Nota</x:t>
        </x:is>
      </x:c>
    </x:row>
    <x:row r="6" ht="22" customHeight="1">
      <x:c r="A6" s="9">
        <x:v>1</x:v>
      </x:c>
      <x:c r="B6" s="12" t="inlineStr">
        <x:is>
          <x:t xml:space="preserve">Geometría</x:t>
        </x:is>
      </x:c>
      <x:c r="C6" s="8" t="inlineStr">
        <x:is>
          <x:t xml:space="preserve">Área de contacto</x:t>
        </x:is>
      </x:c>
      <x:c r="D6" s="8" t="inlineStr">
        <x:is>
          <x:t xml:space="preserve">A = B × L</x:t>
        </x:is>
      </x:c>
      <x:c r="E6" s="10" t="inlineStr">
        <x:is>
          <x:t xml:space="preserve">='Entradas'!$D$16*'Entradas'!$D$17</x:t>
        </x:is>
      </x:c>
      <x:c r="F6" s="6" t="n">
        <x:f>'Entradas'!$D$16*'Entradas'!$D$17</x:f>
        <x:v>6</x:v>
      </x:c>
      <x:c r="G6" s="8" t="inlineStr">
        <x:is>
          <x:t xml:space="preserve">m²</x:t>
        </x:is>
      </x:c>
      <x:c r="H6" s="4">
        <x:v>6</x:v>
      </x:c>
      <x:c r="I6" s="9" t="n">
        <x:f>F6-H6</x:f>
        <x:v>0</x:v>
      </x:c>
      <x:c r="J6" s="11" t="str">
        <x:f>IF(ABS(I6)&lt;=0.000000001,"Coincide","REVISAR")</x:f>
        <x:v>Coincide</x:v>
      </x:c>
      <x:c r="K6" s="10" t="inlineStr">
        <x:is>
          <x:t xml:space="preserve">='Entradas'!$D$16*'Entradas'!$D$17</x:t>
        </x:is>
      </x:c>
      <x:c r="L6" s="8" t="inlineStr">
        <x:is>
          <x:t xml:space="preserve"/>
        </x:is>
      </x:c>
    </x:row>
    <x:row r="7" ht="22" customHeight="1">
      <x:c r="A7" s="9">
        <x:v>2</x:v>
      </x:c>
      <x:c r="B7" s="12" t="inlineStr">
        <x:is>
          <x:t xml:space="preserve">Geometría</x:t>
        </x:is>
      </x:c>
      <x:c r="C7" s="8" t="inlineStr">
        <x:is>
          <x:t xml:space="preserve">Profundidad efectiva</x:t>
        </x:is>
      </x:c>
      <x:c r="D7" s="8" t="inlineStr">
        <x:is>
          <x:t xml:space="preserve">d = h − c − dᵦ/2</x:t>
        </x:is>
      </x:c>
      <x:c r="E7" s="10" t="inlineStr">
        <x:is>
          <x:t xml:space="preserve">='Entradas'!$D$18-'Entradas'!$D$19-'Entradas'!$D$20/2</x:t>
        </x:is>
      </x:c>
      <x:c r="F7" s="6" t="n">
        <x:f>'Entradas'!$D$18-'Entradas'!$D$19-'Entradas'!$D$20/2</x:f>
        <x:v>0.417</x:v>
      </x:c>
      <x:c r="G7" s="8" t="inlineStr">
        <x:is>
          <x:t xml:space="preserve">m</x:t>
        </x:is>
      </x:c>
      <x:c r="H7" s="4">
        <x:v>0.417</x:v>
      </x:c>
      <x:c r="I7" s="9" t="n">
        <x:f>F7-H7</x:f>
        <x:v>0</x:v>
      </x:c>
      <x:c r="J7" s="11" t="str">
        <x:f>IF(ABS(I7)&lt;=0.000000001,"Coincide","REVISAR")</x:f>
        <x:v>Coincide</x:v>
      </x:c>
      <x:c r="K7" s="10" t="inlineStr">
        <x:is>
          <x:t xml:space="preserve">='Entradas'!$D$18-'Entradas'!$D$19-'Entradas'!$D$20/2</x:t>
        </x:is>
      </x:c>
      <x:c r="L7" s="8" t="inlineStr">
        <x:is>
          <x:t xml:space="preserve"/>
        </x:is>
      </x:c>
    </x:row>
    <x:row r="8" ht="22" customHeight="1">
      <x:c r="A8" s="9">
        <x:v>3</x:v>
      </x:c>
      <x:c r="B8" s="12" t="inlineStr">
        <x:is>
          <x:t xml:space="preserve">Servicio</x:t>
        </x:is>
      </x:c>
      <x:c r="C8" s="8" t="inlineStr">
        <x:is>
          <x:t xml:space="preserve">Peso propio</x:t>
        </x:is>
      </x:c>
      <x:c r="D8" s="8" t="inlineStr">
        <x:is>
          <x:t xml:space="preserve">Wz = A × h × γc</x:t>
        </x:is>
      </x:c>
      <x:c r="E8" s="10" t="inlineStr">
        <x:is>
          <x:t xml:space="preserve">='Cálculo completo'!$F$6*'Entradas'!$D$18*'Entradas'!$D$11</x:t>
        </x:is>
      </x:c>
      <x:c r="F8" s="6" t="n">
        <x:f>'Cálculo completo'!$F$6*'Entradas'!$D$18*'Entradas'!$D$11</x:f>
        <x:v>72</x:v>
      </x:c>
      <x:c r="G8" s="8" t="inlineStr">
        <x:is>
          <x:t xml:space="preserve">kN</x:t>
        </x:is>
      </x:c>
      <x:c r="H8" s="4">
        <x:v>72</x:v>
      </x:c>
      <x:c r="I8" s="9" t="n">
        <x:f>F8-H8</x:f>
        <x:v>0</x:v>
      </x:c>
      <x:c r="J8" s="11" t="str">
        <x:f>IF(ABS(I8)&lt;=0.000000001,"Coincide","REVISAR")</x:f>
        <x:v>Coincide</x:v>
      </x:c>
      <x:c r="K8" s="10" t="inlineStr">
        <x:is>
          <x:t xml:space="preserve">='Cálculo completo'!$F$6*'Entradas'!$D$18*'Entradas'!$D$11</x:t>
        </x:is>
      </x:c>
      <x:c r="L8" s="8" t="inlineStr">
        <x:is>
          <x:t xml:space="preserve"/>
        </x:is>
      </x:c>
    </x:row>
    <x:row r="9" ht="22" customHeight="1">
      <x:c r="A9" s="9">
        <x:v>4</x:v>
      </x:c>
      <x:c r="B9" s="12" t="inlineStr">
        <x:is>
          <x:t xml:space="preserve">Servicio</x:t>
        </x:is>
      </x:c>
      <x:c r="C9" s="8" t="inlineStr">
        <x:is>
          <x:t xml:space="preserve">Peso de relleno</x:t>
        </x:is>
      </x:c>
      <x:c r="D9" s="8" t="inlineStr">
        <x:is>
          <x:t xml:space="preserve">Wr = A × hr × γr</x:t>
        </x:is>
      </x:c>
      <x:c r="E9" s="10" t="inlineStr">
        <x:is>
          <x:t xml:space="preserve">='Cálculo completo'!$F$6*'Entradas'!$D$12*'Entradas'!$D$13</x:t>
        </x:is>
      </x:c>
      <x:c r="F9" s="6" t="n">
        <x:f>'Cálculo completo'!$F$6*'Entradas'!$D$12*'Entradas'!$D$13</x:f>
        <x:v>0</x:v>
      </x:c>
      <x:c r="G9" s="8" t="inlineStr">
        <x:is>
          <x:t xml:space="preserve">kN</x:t>
        </x:is>
      </x:c>
      <x:c r="H9" s="4">
        <x:v>0</x:v>
      </x:c>
      <x:c r="I9" s="9" t="n">
        <x:f>F9-H9</x:f>
        <x:v>0</x:v>
      </x:c>
      <x:c r="J9" s="11" t="str">
        <x:f>IF(ABS(I9)&lt;=0.000000001,"Coincide","REVISAR")</x:f>
        <x:v>Coincide</x:v>
      </x:c>
      <x:c r="K9" s="10" t="inlineStr">
        <x:is>
          <x:t xml:space="preserve">='Cálculo completo'!$F$6*'Entradas'!$D$12*'Entradas'!$D$13</x:t>
        </x:is>
      </x:c>
      <x:c r="L9" s="8" t="inlineStr">
        <x:is>
          <x:t xml:space="preserve"/>
        </x:is>
      </x:c>
    </x:row>
    <x:row r="10" ht="22" customHeight="1">
      <x:c r="A10" s="9">
        <x:v>5</x:v>
      </x:c>
      <x:c r="B10" s="12" t="inlineStr">
        <x:is>
          <x:t xml:space="preserve">Servicio</x:t>
        </x:is>
      </x:c>
      <x:c r="C10" s="8" t="inlineStr">
        <x:is>
          <x:t xml:space="preserve">Carga total de servicio</x:t>
        </x:is>
      </x:c>
      <x:c r="D10" s="8" t="inlineStr">
        <x:is>
          <x:t xml:space="preserve">P = Pserv + Wz + Wr</x:t>
        </x:is>
      </x:c>
      <x:c r="E10" s="10" t="inlineStr">
        <x:is>
          <x:t xml:space="preserve">='Entradas'!$D$6+'Cálculo completo'!$F$8+'Cálculo completo'!$F$9</x:t>
        </x:is>
      </x:c>
      <x:c r="F10" s="6" t="n">
        <x:f>'Entradas'!$D$6+'Cálculo completo'!$F$8+'Cálculo completo'!$F$9</x:f>
        <x:v>522</x:v>
      </x:c>
      <x:c r="G10" s="8" t="inlineStr">
        <x:is>
          <x:t xml:space="preserve">kN</x:t>
        </x:is>
      </x:c>
      <x:c r="H10" s="4">
        <x:v>522</x:v>
      </x:c>
      <x:c r="I10" s="9" t="n">
        <x:f>F10-H10</x:f>
        <x:v>0</x:v>
      </x:c>
      <x:c r="J10" s="11" t="str">
        <x:f>IF(ABS(I10)&lt;=0.000000001,"Coincide","REVISAR")</x:f>
        <x:v>Coincide</x:v>
      </x:c>
      <x:c r="K10" s="10" t="inlineStr">
        <x:is>
          <x:t xml:space="preserve">='Entradas'!$D$6+'Cálculo completo'!$F$8+'Cálculo completo'!$F$9</x:t>
        </x:is>
      </x:c>
      <x:c r="L10" s="8" t="inlineStr">
        <x:is>
          <x:t xml:space="preserve"/>
        </x:is>
      </x:c>
    </x:row>
    <x:row r="11" ht="22" customHeight="1">
      <x:c r="A11" s="9">
        <x:v>6</x:v>
      </x:c>
      <x:c r="B11" s="12" t="inlineStr">
        <x:is>
          <x:t xml:space="preserve">Servicio</x:t>
        </x:is>
      </x:c>
      <x:c r="C11" s="8" t="inlineStr">
        <x:is>
          <x:t xml:space="preserve">Presión bruta</x:t>
        </x:is>
      </x:c>
      <x:c r="D11" s="8" t="inlineStr">
        <x:is>
          <x:t xml:space="preserve">qg = P/A</x:t>
        </x:is>
      </x:c>
      <x:c r="E11" s="10" t="inlineStr">
        <x:is>
          <x:t xml:space="preserve">='Cálculo completo'!$F$10/'Cálculo completo'!$F$6</x:t>
        </x:is>
      </x:c>
      <x:c r="F11" s="6" t="n">
        <x:f>'Cálculo completo'!$F$10/'Cálculo completo'!$F$6</x:f>
        <x:v>87</x:v>
      </x:c>
      <x:c r="G11" s="8" t="inlineStr">
        <x:is>
          <x:t xml:space="preserve">kPa</x:t>
        </x:is>
      </x:c>
      <x:c r="H11" s="4">
        <x:v>87</x:v>
      </x:c>
      <x:c r="I11" s="9" t="n">
        <x:f>F11-H11</x:f>
        <x:v>0</x:v>
      </x:c>
      <x:c r="J11" s="11" t="str">
        <x:f>IF(ABS(I11)&lt;=0.000000001,"Coincide","REVISAR")</x:f>
        <x:v>Coincide</x:v>
      </x:c>
      <x:c r="K11" s="10" t="inlineStr">
        <x:is>
          <x:t xml:space="preserve">='Cálculo completo'!$F$10/'Cálculo completo'!$F$6</x:t>
        </x:is>
      </x:c>
      <x:c r="L11" s="8" t="inlineStr">
        <x:is>
          <x:t xml:space="preserve"/>
        </x:is>
      </x:c>
    </x:row>
    <x:row r="12" ht="22" customHeight="1">
      <x:c r="A12" s="9">
        <x:v>7</x:v>
      </x:c>
      <x:c r="B12" s="12" t="inlineStr">
        <x:is>
          <x:t xml:space="preserve">Servicio</x:t>
        </x:is>
      </x:c>
      <x:c r="C12" s="8" t="inlineStr">
        <x:is>
          <x:t xml:space="preserve">Presión neta</x:t>
        </x:is>
      </x:c>
      <x:c r="D12" s="8" t="inlineStr">
        <x:is>
          <x:t xml:space="preserve">qn = qg − qrem</x:t>
        </x:is>
      </x:c>
      <x:c r="E12" s="10" t="inlineStr">
        <x:is>
          <x:t xml:space="preserve">='Cálculo completo'!$F$11-'Entradas'!$D$10</x:t>
        </x:is>
      </x:c>
      <x:c r="F12" s="6" t="n">
        <x:f>'Cálculo completo'!$F$11-'Entradas'!$D$10</x:f>
        <x:v>87</x:v>
      </x:c>
      <x:c r="G12" s="8" t="inlineStr">
        <x:is>
          <x:t xml:space="preserve">kPa</x:t>
        </x:is>
      </x:c>
      <x:c r="H12" s="4">
        <x:v>87</x:v>
      </x:c>
      <x:c r="I12" s="9" t="n">
        <x:f>F12-H12</x:f>
        <x:v>0</x:v>
      </x:c>
      <x:c r="J12" s="11" t="str">
        <x:f>IF(ABS(I12)&lt;=0.000000001,"Coincide","REVISAR")</x:f>
        <x:v>Coincide</x:v>
      </x:c>
      <x:c r="K12" s="10" t="inlineStr">
        <x:is>
          <x:t xml:space="preserve">='Cálculo completo'!$F$11-'Entradas'!$D$10</x:t>
        </x:is>
      </x:c>
      <x:c r="L12" s="8" t="inlineStr">
        <x:is>
          <x:t xml:space="preserve"/>
        </x:is>
      </x:c>
    </x:row>
    <x:row r="13" ht="22" customHeight="1">
      <x:c r="A13" s="9">
        <x:v>8</x:v>
      </x:c>
      <x:c r="B13" s="12" t="inlineStr">
        <x:is>
          <x:t xml:space="preserve">Servicio</x:t>
        </x:is>
      </x:c>
      <x:c r="C13" s="8" t="inlineStr">
        <x:is>
          <x:t xml:space="preserve">Presión comparada</x:t>
        </x:is>
      </x:c>
      <x:c r="D13" s="8" t="inlineStr">
        <x:is>
          <x:t xml:space="preserve">qcmp = qg o qn</x:t>
        </x:is>
      </x:c>
      <x:c r="E13" s="10" t="inlineStr">
        <x:is>
          <x:t xml:space="preserve">=IF('Entradas'!$D$9="gross",'Cálculo completo'!$F$11,'Cálculo completo'!$F$12)</x:t>
        </x:is>
      </x:c>
      <x:c r="F13" s="6" t="n">
        <x:f>IF('Entradas'!$D$9="gross",'Cálculo completo'!$F$11,'Cálculo completo'!$F$12)</x:f>
        <x:v>87</x:v>
      </x:c>
      <x:c r="G13" s="8" t="inlineStr">
        <x:is>
          <x:t xml:space="preserve">kPa</x:t>
        </x:is>
      </x:c>
      <x:c r="H13" s="4">
        <x:v>87</x:v>
      </x:c>
      <x:c r="I13" s="9" t="n">
        <x:f>F13-H13</x:f>
        <x:v>0</x:v>
      </x:c>
      <x:c r="J13" s="11" t="str">
        <x:f>IF(ABS(I13)&lt;=0.000000001,"Coincide","REVISAR")</x:f>
        <x:v>Coincide</x:v>
      </x:c>
      <x:c r="K13" s="10" t="inlineStr">
        <x:is>
          <x:t xml:space="preserve">=IF('Entradas'!$D$9="gross",'Cálculo completo'!$F$11,'Cálculo completo'!$F$12)</x:t>
        </x:is>
      </x:c>
      <x:c r="L13" s="8" t="inlineStr">
        <x:is>
          <x:t xml:space="preserve"/>
        </x:is>
      </x:c>
    </x:row>
    <x:row r="14" ht="22" customHeight="1">
      <x:c r="A14" s="9">
        <x:v>9</x:v>
      </x:c>
      <x:c r="B14" s="12" t="inlineStr">
        <x:is>
          <x:t xml:space="preserve">Servicio</x:t>
        </x:is>
      </x:c>
      <x:c r="C14" s="8" t="inlineStr">
        <x:is>
          <x:t xml:space="preserve">Utilización de capacidad</x:t>
        </x:is>
      </x:c>
      <x:c r="D14" s="8" t="inlineStr">
        <x:is>
          <x:t xml:space="preserve">η = qcmp/qadm</x:t>
        </x:is>
      </x:c>
      <x:c r="E14" s="10" t="inlineStr">
        <x:is>
          <x:t xml:space="preserve">='Cálculo completo'!$F$13/'Entradas'!$D$8</x:t>
        </x:is>
      </x:c>
      <x:c r="F14" s="6" t="n">
        <x:f>'Cálculo completo'!$F$13/'Entradas'!$D$8</x:f>
        <x:v>0.48333333333333334</x:v>
      </x:c>
      <x:c r="G14" s="8" t="inlineStr">
        <x:is>
          <x:t xml:space="preserve"/>
        </x:is>
      </x:c>
      <x:c r="H14" s="4">
        <x:v>0.48333333333333334</x:v>
      </x:c>
      <x:c r="I14" s="9" t="n">
        <x:f>F14-H14</x:f>
        <x:v>0</x:v>
      </x:c>
      <x:c r="J14" s="11" t="str">
        <x:f>IF(ABS(I14)&lt;=0.000000001,"Coincide","REVISAR")</x:f>
        <x:v>Coincide</x:v>
      </x:c>
      <x:c r="K14" s="10" t="inlineStr">
        <x:is>
          <x:t xml:space="preserve">='Cálculo completo'!$F$13/'Entradas'!$D$8</x:t>
        </x:is>
      </x:c>
      <x:c r="L14" s="8" t="inlineStr">
        <x:is>
          <x:t xml:space="preserve"/>
        </x:is>
      </x:c>
    </x:row>
    <x:row r="15" ht="22" customHeight="1">
      <x:c r="A15" s="9">
        <x:v>10</x:v>
      </x:c>
      <x:c r="B15" s="12" t="inlineStr">
        <x:is>
          <x:t xml:space="preserve">Estructural</x:t>
        </x:is>
      </x:c>
      <x:c r="C15" s="8" t="inlineStr">
        <x:is>
          <x:t xml:space="preserve">Presión última uniforme</x:t>
        </x:is>
      </x:c>
      <x:c r="D15" s="8" t="inlineStr">
        <x:is>
          <x:t xml:space="preserve">qᵤ = Pᵤ/A</x:t>
        </x:is>
      </x:c>
      <x:c r="E15" s="10" t="inlineStr">
        <x:is>
          <x:t xml:space="preserve">='Entradas'!$D$7/'Cálculo completo'!$F$6</x:t>
        </x:is>
      </x:c>
      <x:c r="F15" s="6" t="n">
        <x:f>'Entradas'!$D$7/'Cálculo completo'!$F$6</x:f>
        <x:v>150</x:v>
      </x:c>
      <x:c r="G15" s="8" t="inlineStr">
        <x:is>
          <x:t xml:space="preserve">kPa</x:t>
        </x:is>
      </x:c>
      <x:c r="H15" s="4">
        <x:v>150</x:v>
      </x:c>
      <x:c r="I15" s="9" t="n">
        <x:f>F15-H15</x:f>
        <x:v>0</x:v>
      </x:c>
      <x:c r="J15" s="11" t="str">
        <x:f>IF(ABS(I15)&lt;=0.000000001,"Coincide","REVISAR")</x:f>
        <x:v>Coincide</x:v>
      </x:c>
      <x:c r="K15" s="10" t="inlineStr">
        <x:is>
          <x:t xml:space="preserve">='Entradas'!$D$7/'Cálculo completo'!$F$6</x:t>
        </x:is>
      </x:c>
      <x:c r="L15" s="8" t="inlineStr">
        <x:is>
          <x:t xml:space="preserve"/>
        </x:is>
      </x:c>
    </x:row>
    <x:row r="16" ht="22" customHeight="1">
      <x:c r="A16" s="9">
        <x:v>11</x:v>
      </x:c>
      <x:c r="B16" s="12" t="inlineStr">
        <x:is>
          <x:t xml:space="preserve">Cortante</x:t>
        </x:is>
      </x:c>
      <x:c r="C16" s="8" t="inlineStr">
        <x:is>
          <x:t xml:space="preserve">Voladizo en B</x:t>
        </x:is>
      </x:c>
      <x:c r="D16" s="8" t="inlineStr">
        <x:is>
          <x:t xml:space="preserve">aB = (B−cB)/2</x:t>
        </x:is>
      </x:c>
      <x:c r="E16" s="10" t="inlineStr">
        <x:is>
          <x:t xml:space="preserve">=('Entradas'!$D$16-'Entradas'!$D$14)/2</x:t>
        </x:is>
      </x:c>
      <x:c r="F16" s="6" t="n">
        <x:f>('Entradas'!$D$16-'Entradas'!$D$14)/2</x:f>
        <x:v>0.8</x:v>
      </x:c>
      <x:c r="G16" s="8" t="inlineStr">
        <x:is>
          <x:t xml:space="preserve">m</x:t>
        </x:is>
      </x:c>
      <x:c r="H16" s="4">
        <x:v>0.8</x:v>
      </x:c>
      <x:c r="I16" s="9" t="n">
        <x:f>F16-H16</x:f>
        <x:v>0</x:v>
      </x:c>
      <x:c r="J16" s="11" t="str">
        <x:f>IF(ABS(I16)&lt;=0.000000001,"Coincide","REVISAR")</x:f>
        <x:v>Coincide</x:v>
      </x:c>
      <x:c r="K16" s="10" t="inlineStr">
        <x:is>
          <x:t xml:space="preserve">=('Entradas'!$D$16-'Entradas'!$D$14)/2</x:t>
        </x:is>
      </x:c>
      <x:c r="L16" s="8" t="inlineStr">
        <x:is>
          <x:t xml:space="preserve"/>
        </x:is>
      </x:c>
    </x:row>
    <x:row r="17" ht="22" customHeight="1">
      <x:c r="A17" s="9">
        <x:v>12</x:v>
      </x:c>
      <x:c r="B17" s="12" t="inlineStr">
        <x:is>
          <x:t xml:space="preserve">Cortante</x:t>
        </x:is>
      </x:c>
      <x:c r="C17" s="8" t="inlineStr">
        <x:is>
          <x:t xml:space="preserve">Voladizo en L</x:t>
        </x:is>
      </x:c>
      <x:c r="D17" s="8" t="inlineStr">
        <x:is>
          <x:t xml:space="preserve">aL = (L−cL)/2</x:t>
        </x:is>
      </x:c>
      <x:c r="E17" s="10" t="inlineStr">
        <x:is>
          <x:t xml:space="preserve">=('Entradas'!$D$17-'Entradas'!$D$15)/2</x:t>
        </x:is>
      </x:c>
      <x:c r="F17" s="6" t="n">
        <x:f>('Entradas'!$D$17-'Entradas'!$D$15)/2</x:f>
        <x:v>1.2</x:v>
      </x:c>
      <x:c r="G17" s="8" t="inlineStr">
        <x:is>
          <x:t xml:space="preserve">m</x:t>
        </x:is>
      </x:c>
      <x:c r="H17" s="4">
        <x:v>1.2</x:v>
      </x:c>
      <x:c r="I17" s="9" t="n">
        <x:f>F17-H17</x:f>
        <x:v>0</x:v>
      </x:c>
      <x:c r="J17" s="11" t="str">
        <x:f>IF(ABS(I17)&lt;=0.000000001,"Coincide","REVISAR")</x:f>
        <x:v>Coincide</x:v>
      </x:c>
      <x:c r="K17" s="10" t="inlineStr">
        <x:is>
          <x:t xml:space="preserve">=('Entradas'!$D$17-'Entradas'!$D$15)/2</x:t>
        </x:is>
      </x:c>
      <x:c r="L17" s="8" t="inlineStr">
        <x:is>
          <x:t xml:space="preserve"/>
        </x:is>
      </x:c>
    </x:row>
    <x:row r="18" ht="22" customHeight="1">
      <x:c r="A18" s="9">
        <x:v>13</x:v>
      </x:c>
      <x:c r="B18" s="12" t="inlineStr">
        <x:is>
          <x:t xml:space="preserve">Cortante</x:t>
        </x:is>
      </x:c>
      <x:c r="C18" s="8" t="inlineStr">
        <x:is>
          <x:t xml:space="preserve">Demanda en dirección B</x:t>
        </x:is>
      </x:c>
      <x:c r="D18" s="8" t="inlineStr">
        <x:is>
          <x:t xml:space="preserve">Vᵤ = qᵤ × L × máx(aB−d,0)</x:t>
        </x:is>
      </x:c>
      <x:c r="E18" s="10" t="inlineStr">
        <x:is>
          <x:t xml:space="preserve">='Cálculo completo'!$F$15*'Entradas'!$D$17*MAX('Cálculo completo'!$F$16-'Cálculo completo'!$F$7,0)</x:t>
        </x:is>
      </x:c>
      <x:c r="F18" s="6" t="n">
        <x:f>'Cálculo completo'!$F$15*'Entradas'!$D$17*MAX('Cálculo completo'!$F$16-'Cálculo completo'!$F$7,0)</x:f>
        <x:v>172.35000000000002</x:v>
      </x:c>
      <x:c r="G18" s="8" t="inlineStr">
        <x:is>
          <x:t xml:space="preserve">kN</x:t>
        </x:is>
      </x:c>
      <x:c r="H18" s="4">
        <x:v>172.35000000000002</x:v>
      </x:c>
      <x:c r="I18" s="9" t="n">
        <x:f>F18-H18</x:f>
        <x:v>0</x:v>
      </x:c>
      <x:c r="J18" s="11" t="str">
        <x:f>IF(ABS(I18)&lt;=0.000000001,"Coincide","REVISAR")</x:f>
        <x:v>Coincide</x:v>
      </x:c>
      <x:c r="K18" s="10" t="inlineStr">
        <x:is>
          <x:t xml:space="preserve">='Cálculo completo'!$F$15*'Entradas'!$D$17*MAX('Cálculo completo'!$F$16-'Cálculo completo'!$F$7,0)</x:t>
        </x:is>
      </x:c>
      <x:c r="L18" s="8" t="inlineStr">
        <x:is>
          <x:t xml:space="preserve"/>
        </x:is>
      </x:c>
    </x:row>
    <x:row r="19" ht="22" customHeight="1">
      <x:c r="A19" s="9">
        <x:v>14</x:v>
      </x:c>
      <x:c r="B19" s="12" t="inlineStr">
        <x:is>
          <x:t xml:space="preserve">Cortante</x:t>
        </x:is>
      </x:c>
      <x:c r="C19" s="8" t="inlineStr">
        <x:is>
          <x:t xml:space="preserve">Demanda en dirección L</x:t>
        </x:is>
      </x:c>
      <x:c r="D19" s="8" t="inlineStr">
        <x:is>
          <x:t xml:space="preserve">Vᵤ = qᵤ × B × máx(aL−d,0)</x:t>
        </x:is>
      </x:c>
      <x:c r="E19" s="10" t="inlineStr">
        <x:is>
          <x:t xml:space="preserve">='Cálculo completo'!$F$15*'Entradas'!$D$16*MAX('Cálculo completo'!$F$17-'Cálculo completo'!$F$7,0)</x:t>
        </x:is>
      </x:c>
      <x:c r="F19" s="6" t="n">
        <x:f>'Cálculo completo'!$F$15*'Entradas'!$D$16*MAX('Cálculo completo'!$F$17-'Cálculo completo'!$F$7,0)</x:f>
        <x:v>234.89999999999998</x:v>
      </x:c>
      <x:c r="G19" s="8" t="inlineStr">
        <x:is>
          <x:t xml:space="preserve">kN</x:t>
        </x:is>
      </x:c>
      <x:c r="H19" s="4">
        <x:v>234.89999999999998</x:v>
      </x:c>
      <x:c r="I19" s="9" t="n">
        <x:f>F19-H19</x:f>
        <x:v>0</x:v>
      </x:c>
      <x:c r="J19" s="11" t="str">
        <x:f>IF(ABS(I19)&lt;=0.000000001,"Coincide","REVISAR")</x:f>
        <x:v>Coincide</x:v>
      </x:c>
      <x:c r="K19" s="10" t="inlineStr">
        <x:is>
          <x:t xml:space="preserve">='Cálculo completo'!$F$15*'Entradas'!$D$16*MAX('Cálculo completo'!$F$17-'Cálculo completo'!$F$7,0)</x:t>
        </x:is>
      </x:c>
      <x:c r="L19" s="8" t="inlineStr">
        <x:is>
          <x:t xml:space="preserve"/>
        </x:is>
      </x:c>
    </x:row>
    <x:row r="20" ht="22" customHeight="1">
      <x:c r="A20" s="9">
        <x:v>15</x:v>
      </x:c>
      <x:c r="B20" s="12" t="inlineStr">
        <x:is>
          <x:t xml:space="preserve">Flexión</x:t>
        </x:is>
      </x:c>
      <x:c r="C20" s="8" t="inlineStr">
        <x:is>
          <x:t xml:space="preserve">Momento en dirección B</x:t>
        </x:is>
      </x:c>
      <x:c r="D20" s="8" t="inlineStr">
        <x:is>
          <x:t xml:space="preserve">Mᵤ = qᵤ × L × aB²/2</x:t>
        </x:is>
      </x:c>
      <x:c r="E20" s="10" t="inlineStr">
        <x:is>
          <x:t xml:space="preserve">='Cálculo completo'!$F$15*'Entradas'!$D$17*'Cálculo completo'!$F$16^2/2</x:t>
        </x:is>
      </x:c>
      <x:c r="F20" s="6" t="n">
        <x:f>'Cálculo completo'!$F$15*'Entradas'!$D$17*'Cálculo completo'!$F$16^2/2</x:f>
        <x:v>144.00000000000003</x:v>
      </x:c>
      <x:c r="G20" s="8" t="inlineStr">
        <x:is>
          <x:t xml:space="preserve">kN·m</x:t>
        </x:is>
      </x:c>
      <x:c r="H20" s="4">
        <x:v>144.00000000000003</x:v>
      </x:c>
      <x:c r="I20" s="9" t="n">
        <x:f>F20-H20</x:f>
        <x:v>0</x:v>
      </x:c>
      <x:c r="J20" s="11" t="str">
        <x:f>IF(ABS(I20)&lt;=0.000000001,"Coincide","REVISAR")</x:f>
        <x:v>Coincide</x:v>
      </x:c>
      <x:c r="K20" s="10" t="inlineStr">
        <x:is>
          <x:t xml:space="preserve">='Cálculo completo'!$F$15*'Entradas'!$D$17*'Cálculo completo'!$F$16^2/2</x:t>
        </x:is>
      </x:c>
      <x:c r="L20" s="8" t="inlineStr">
        <x:is>
          <x:t xml:space="preserve"/>
        </x:is>
      </x:c>
    </x:row>
    <x:row r="21" ht="22" customHeight="1">
      <x:c r="A21" s="9">
        <x:v>16</x:v>
      </x:c>
      <x:c r="B21" s="12" t="inlineStr">
        <x:is>
          <x:t xml:space="preserve">Flexión</x:t>
        </x:is>
      </x:c>
      <x:c r="C21" s="8" t="inlineStr">
        <x:is>
          <x:t xml:space="preserve">Momento en dirección L</x:t>
        </x:is>
      </x:c>
      <x:c r="D21" s="8" t="inlineStr">
        <x:is>
          <x:t xml:space="preserve">Mᵤ = qᵤ × B × aL²/2</x:t>
        </x:is>
      </x:c>
      <x:c r="E21" s="10" t="inlineStr">
        <x:is>
          <x:t xml:space="preserve">='Cálculo completo'!$F$15*'Entradas'!$D$16*'Cálculo completo'!$F$17^2/2</x:t>
        </x:is>
      </x:c>
      <x:c r="F21" s="6" t="n">
        <x:f>'Cálculo completo'!$F$15*'Entradas'!$D$16*'Cálculo completo'!$F$17^2/2</x:f>
        <x:v>216</x:v>
      </x:c>
      <x:c r="G21" s="8" t="inlineStr">
        <x:is>
          <x:t xml:space="preserve">kN·m</x:t>
        </x:is>
      </x:c>
      <x:c r="H21" s="4">
        <x:v>216</x:v>
      </x:c>
      <x:c r="I21" s="9" t="n">
        <x:f>F21-H21</x:f>
        <x:v>0</x:v>
      </x:c>
      <x:c r="J21" s="11" t="str">
        <x:f>IF(ABS(I21)&lt;=0.000000001,"Coincide","REVISAR")</x:f>
        <x:v>Coincide</x:v>
      </x:c>
      <x:c r="K21" s="10" t="inlineStr">
        <x:is>
          <x:t xml:space="preserve">='Cálculo completo'!$F$15*'Entradas'!$D$16*'Cálculo completo'!$F$17^2/2</x:t>
        </x:is>
      </x:c>
      <x:c r="L21" s="8" t="inlineStr">
        <x:is>
          <x:t xml:space="preserve"/>
        </x:is>
      </x:c>
    </x:row>
    <x:row r="22" ht="22" customHeight="1">
      <x:c r="A22" s="9">
        <x:v>17</x:v>
      </x:c>
      <x:c r="B22" s="12" t="inlineStr">
        <x:is>
          <x:t xml:space="preserve">Armado</x:t>
        </x:is>
      </x:c>
      <x:c r="C22" s="8" t="inlineStr">
        <x:is>
          <x:t xml:space="preserve">Área de una barra</x:t>
        </x:is>
      </x:c>
      <x:c r="D22" s="8" t="inlineStr">
        <x:is>
          <x:t xml:space="preserve">Aᵦ = πdᵦ²/4</x:t>
        </x:is>
      </x:c>
      <x:c r="E22" s="10" t="inlineStr">
        <x:is>
          <x:t xml:space="preserve">=PI()*('Entradas'!$D$20*1000)^2/4</x:t>
        </x:is>
      </x:c>
      <x:c r="F22" s="6" t="n">
        <x:f>PI()*('Entradas'!$D$20*1000)^2/4</x:f>
        <x:v>201.06192982974676</x:v>
      </x:c>
      <x:c r="G22" s="8" t="inlineStr">
        <x:is>
          <x:t xml:space="preserve">mm²</x:t>
        </x:is>
      </x:c>
      <x:c r="H22" s="4">
        <x:v>201.06192982974676</x:v>
      </x:c>
      <x:c r="I22" s="9" t="n">
        <x:f>F22-H22</x:f>
        <x:v>0</x:v>
      </x:c>
      <x:c r="J22" s="11" t="str">
        <x:f>IF(ABS(I22)&lt;=0.000000001,"Coincide","REVISAR")</x:f>
        <x:v>Coincide</x:v>
      </x:c>
      <x:c r="K22" s="10" t="inlineStr">
        <x:is>
          <x:t xml:space="preserve">=PI()*('Entradas'!$D$20*1000)^2/4</x:t>
        </x:is>
      </x:c>
      <x:c r="L22" s="8" t="inlineStr">
        <x:is>
          <x:t xml:space="preserve"/>
        </x:is>
      </x:c>
    </x:row>
    <x:row r="23" ht="34" customHeight="1">
      <x:c r="A23" s="9">
        <x:v>18</x:v>
      </x:c>
      <x:c r="B23" s="12" t="inlineStr">
        <x:is>
          <x:t xml:space="preserve">Armado</x:t>
        </x:is>
      </x:c>
      <x:c r="C23" s="8" t="inlineStr">
        <x:is>
          <x:t xml:space="preserve">Acero mínimo por metro</x:t>
        </x:is>
      </x:c>
      <x:c r="D23" s="8" t="inlineStr">
        <x:is>
          <x:t xml:space="preserve">Aₛ,min = 0.0018×1000×h(mm)</x:t>
        </x:is>
      </x:c>
      <x:c r="E23" s="10" t="inlineStr">
        <x:is>
          <x:t xml:space="preserve">=0.0018*1000*('Entradas'!$D$18*1000)</x:t>
        </x:is>
      </x:c>
      <x:c r="F23" s="6" t="n">
        <x:f>0.0018*1000*('Entradas'!$D$18*1000)</x:f>
        <x:v>900</x:v>
      </x:c>
      <x:c r="G23" s="8" t="inlineStr">
        <x:is>
          <x:t xml:space="preserve">mm²/m</x:t>
        </x:is>
      </x:c>
      <x:c r="H23" s="4">
        <x:v>900</x:v>
      </x:c>
      <x:c r="I23" s="9" t="n">
        <x:f>F23-H23</x:f>
        <x:v>0</x:v>
      </x:c>
      <x:c r="J23" s="11" t="str">
        <x:f>IF(ABS(I23)&lt;=0.000000001,"Coincide","REVISAR")</x:f>
        <x:v>Coincide</x:v>
      </x:c>
      <x:c r="K23" s="10" t="inlineStr">
        <x:is>
          <x:t xml:space="preserve">=0.0018*1000*('Entradas'!$D$18*1000)</x:t>
        </x:is>
      </x:c>
      <x:c r="L23" s="7" t="inlineStr">
        <x:is>
          <x:t xml:space="preserve">Referencia de guía en validación.</x:t>
        </x:is>
      </x:c>
    </x:row>
    <x:row r="24" ht="34" customHeight="1">
      <x:c r="A24" s="9">
        <x:v>19</x:v>
      </x:c>
      <x:c r="B24" s="12" t="inlineStr">
        <x:is>
          <x:t xml:space="preserve">Desarrollo</x:t>
        </x:is>
      </x:c>
      <x:c r="C24" s="8" t="inlineStr">
        <x:is>
          <x:t xml:space="preserve">Longitud requerida</x:t>
        </x:is>
      </x:c>
      <x:c r="D24" s="8" t="inlineStr">
        <x:is>
          <x:t xml:space="preserve">lᵈ = fy/(1.4√f′c) × dᵦ</x:t>
        </x:is>
      </x:c>
      <x:c r="E24" s="10" t="inlineStr">
        <x:is>
          <x:t xml:space="preserve">='Entradas'!$D$22/(1.4*SQRT('Entradas'!$D$21))*'Entradas'!$D$20</x:t>
        </x:is>
      </x:c>
      <x:c r="F24" s="6" t="n">
        <x:f>'Entradas'!$D$22/(1.4*SQRT('Entradas'!$D$21))*'Entradas'!$D$20</x:f>
        <x:v>0.9706669766116153</x:v>
      </x:c>
      <x:c r="G24" s="8" t="inlineStr">
        <x:is>
          <x:t xml:space="preserve">m</x:t>
        </x:is>
      </x:c>
      <x:c r="H24" s="4">
        <x:v>0.9706669766116153</x:v>
      </x:c>
      <x:c r="I24" s="9" t="n">
        <x:f>F24-H24</x:f>
        <x:v>0</x:v>
      </x:c>
      <x:c r="J24" s="11" t="str">
        <x:f>IF(ABS(I24)&lt;=0.000000001,"Coincide","REVISAR")</x:f>
        <x:v>Coincide</x:v>
      </x:c>
      <x:c r="K24" s="10" t="inlineStr">
        <x:is>
          <x:t xml:space="preserve">='Entradas'!$D$22/(1.4*SQRT('Entradas'!$D$21))*'Entradas'!$D$20</x:t>
        </x:is>
      </x:c>
      <x:c r="L24" s="7" t="inlineStr">
        <x:is>
          <x:t xml:space="preserve">Referencia de guía en validación.</x:t>
        </x:is>
      </x:c>
    </x:row>
  </x:sheetData>
  <x:mergeCells>
    <x:mergeCell ref="A1:L1"/>
    <x:mergeCell ref="A3:L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8"/>
  <x:cols>
    <x:col min="1" max="1" width="22" customWidth="1"/>
    <x:col min="2" max="2" width="34" customWidth="1"/>
    <x:col min="3" max="3" width="24" customWidth="1"/>
    <x:col min="4" max="4" width="22" customWidth="1"/>
    <x:col min="5" max="5" width="74" customWidth="1"/>
  </x:cols>
  <x:sheetData>
    <x:row r="1" ht="28" customHeight="1">
      <x:c r="A1" s="1" t="inlineStr">
        <x:is>
          <x:t xml:space="preserve">COMPROBACIONES DEL ESCENARIO</x:t>
        </x:is>
      </x:c>
    </x:row>
    <x:row r="3" ht="34" customHeight="1">
      <x:c r="A3" s="8" t="inlineStr">
        <x:is>
          <x:t xml:space="preserve">Los estados reaccionan a las entradas editables. “Dentro de referencia” o “dentro de capacidad” no equivale a aprobación normativa.</x:t>
        </x:is>
      </x:c>
    </x:row>
    <x:row r="5" ht="24" customHeight="1">
      <x:c r="A5" s="3" t="inlineStr">
        <x:is>
          <x:t xml:space="preserve">ID</x:t>
        </x:is>
      </x:c>
      <x:c r="B5" s="3" t="inlineStr">
        <x:is>
          <x:t xml:space="preserve">Comprobación</x:t>
        </x:is>
      </x:c>
      <x:c r="C5" s="3" t="inlineStr">
        <x:is>
          <x:t xml:space="preserve">Estado recalculado</x:t>
        </x:is>
      </x:c>
      <x:c r="D5" s="3" t="inlineStr">
        <x:is>
          <x:t xml:space="preserve">Estado original</x:t>
        </x:is>
      </x:c>
      <x:c r="E5" s="3" t="inlineStr">
        <x:is>
          <x:t xml:space="preserve">Detalle</x:t>
        </x:is>
      </x:c>
    </x:row>
    <x:row r="6" ht="34" customHeight="1">
      <x:c r="A6" s="8" t="inlineStr">
        <x:is>
          <x:t xml:space="preserve">bearing</x:t>
        </x:is>
      </x:c>
      <x:c r="B6" s="8" t="inlineStr">
        <x:is>
          <x:t xml:space="preserve">Capacidad admisible declarada</x:t>
        </x:is>
      </x:c>
      <x:c r="C6" s="11" t="str">
        <x:f>IF('Cálculo completo'!$F$14&lt;=1,"DENTRO DE CAPACIDAD","REQUIERE AJUSTE")</x:f>
        <x:v>DENTRO DE CAPACIDAD</x:v>
      </x:c>
      <x:c r="D6" s="4" t="inlineStr">
        <x:is>
          <x:t xml:space="preserve">DENTRO DE CAPACIDAD</x:t>
        </x:is>
      </x:c>
      <x:c r="E6" s="8" t="inlineStr">
        <x:is>
          <x:t xml:space="preserve">Compara la presión gobernante con la capacidad externa declarada.</x:t>
        </x:is>
      </x:c>
    </x:row>
    <x:row r="7" ht="34" customHeight="1">
      <x:c r="A7" s="8" t="inlineStr">
        <x:is>
          <x:t xml:space="preserve">scope</x:t>
        </x:is>
      </x:c>
      <x:c r="B7" s="8" t="inlineStr">
        <x:is>
          <x:t xml:space="preserve">Estado normativo</x:t>
        </x:is>
      </x:c>
      <x:c r="C7" s="11" t="str">
        <x:f>"REFERENCIA EN VALIDACIÓN"</x:f>
        <x:v>REFERENCIA EN VALIDACIÓN</x:v>
      </x:c>
      <x:c r="D7" s="4" t="inlineStr">
        <x:is>
          <x:t xml:space="preserve">REFERENCIA EN VALIDACIÓN</x:t>
        </x:is>
      </x:c>
      <x:c r="E7" s="8" t="inlineStr">
        <x:is>
          <x:t xml:space="preserve">El libro no convierte referencias de guía en aprobación normativa.</x:t>
        </x:is>
      </x:c>
    </x:row>
    <x:row r="9" ht="24" customHeight="1">
      <x:c r="A9" s="2" t="inlineStr">
        <x:is>
          <x:t xml:space="preserve">Módulos no evaluados / límites</x:t>
        </x:is>
      </x:c>
    </x:row>
    <x:row r="10" ht="30" customHeight="1">
      <x:c r="A10" s="8" t="inlineStr">
        <x:is>
          <x:t xml:space="preserve">• Los resultados de referencia permanecen en validación y no son una liberación normativa NEC.</x:t>
        </x:is>
      </x:c>
    </x:row>
    <x:row r="11" ht="30" customHeight="1">
      <x:c r="A11" s="8" t="inlineStr">
        <x:is>
          <x:t xml:space="preserve">• La capacidad admisible y los asentamientos dependen del estudio geotécnico aplicable.</x:t>
        </x:is>
      </x:c>
    </x:row>
    <x:row r="12" ht="30" customHeight="1">
      <x:c r="A12" s="8" t="inlineStr">
        <x:is>
          <x:t xml:space="preserve">• El alcance excluye excentricidad, presión no uniforme, zapatas combinadas, corridas y losas.</x:t>
        </x:is>
      </x:c>
    </x:row>
    <x:row r="13" ht="30" customHeight="1">
      <x:c r="A13" s="8" t="inlineStr">
        <x:is>
          <x:t xml:space="preserve">• Las demandas se calculan internamente; las resistencias disponibles se presentan como referencias de guía trazables y no como aprobación normativa.</x:t>
        </x:is>
      </x:c>
    </x:row>
  </x:sheetData>
  <x:mergeCells>
    <x:mergeCell ref="A1:E1"/>
    <x:mergeCell ref="A3:E3"/>
    <x:mergeCell ref="A9:E9"/>
    <x:mergeCell ref="A10:E10"/>
    <x:mergeCell ref="A11:E11"/>
    <x:mergeCell ref="A12:E12"/>
    <x:mergeCell ref="A13:E1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8"/>
  <x:cols>
    <x:col min="1" max="1" width="28" customWidth="1"/>
    <x:col min="2" max="2" width="28" customWidth="1"/>
    <x:col min="3" max="3" width="38" customWidth="1"/>
    <x:col min="4" max="4" width="20" customWidth="1"/>
    <x:col min="5" max="5" width="48" customWidth="1"/>
    <x:col min="6" max="6" width="56" customWidth="1"/>
    <x:col min="7" max="7" width="58" customWidth="1"/>
  </x:cols>
  <x:sheetData>
    <x:row r="1" ht="28" customHeight="1">
      <x:c r="A1" s="1" t="inlineStr">
        <x:is>
          <x:t xml:space="preserve">TRAZABILIDAD TÉCNICA Y NORMATIVA</x:t>
        </x:is>
      </x:c>
    </x:row>
    <x:row r="3" ht="38" customHeight="1">
      <x:c r="A3" s="8" t="inlineStr">
        <x:is>
          <x:t xml:space="preserve">Las fuentes se identifican por módulo y aplicabilidad. No se reproduce texto protegido ni se amplía el alcance documentado.</x:t>
        </x:is>
      </x:c>
    </x:row>
    <x:row r="5" ht="28" customHeight="1">
      <x:c r="A5" s="3" t="inlineStr">
        <x:is>
          <x:t xml:space="preserve">Módulo</x:t>
        </x:is>
      </x:c>
      <x:c r="B5" s="3" t="inlineStr">
        <x:is>
          <x:t xml:space="preserve">Base</x:t>
        </x:is>
      </x:c>
      <x:c r="C5" s="3" t="inlineStr">
        <x:is>
          <x:t xml:space="preserve">Fuente</x:t>
        </x:is>
      </x:c>
      <x:c r="D5" s="3" t="inlineStr">
        <x:is>
          <x:t xml:space="preserve">Edición / versión</x:t>
        </x:is>
      </x:c>
      <x:c r="E5" s="3" t="inlineStr">
        <x:is>
          <x:t xml:space="preserve">Referencia</x:t>
        </x:is>
      </x:c>
      <x:c r="F5" s="3" t="inlineStr">
        <x:is>
          <x:t xml:space="preserve">Aplicabilidad</x:t>
        </x:is>
      </x:c>
      <x:c r="G5" s="3" t="inlineStr">
        <x:is>
          <x:t xml:space="preserve">URL pública</x:t>
        </x:is>
      </x:c>
    </x:row>
    <x:row r="6" ht="58" customHeight="1">
      <x:c r="A6" s="8" t="inlineStr">
        <x:is>
          <x:t xml:space="preserve">Contacto de servicio</x:t>
        </x:is>
      </x:c>
      <x:c r="B6" s="8" t="inlineStr">
        <x:is>
          <x:t xml:space="preserve">Equilibrio y geometría</x:t>
        </x:is>
      </x:c>
      <x:c r="C6" s="8" t="inlineStr">
        <x:is>
          <x:t xml:space="preserve">Derivación y alcance documentados por AndeLogic</x:t>
        </x:is>
      </x:c>
      <x:c r="D6" s="8" t="inlineStr">
        <x:is>
          <x:t xml:space="preserve">not-implemented</x:t>
        </x:is>
      </x:c>
      <x:c r="E6" s="8" t="inlineStr">
        <x:is>
          <x:t xml:space="preserve">P/A, peso propio y sobrecarga de relleno; la capacidad admisible es una entrada del estudio geotécnico.</x:t>
        </x:is>
      </x:c>
      <x:c r="F6" s="8" t="inlineStr">
        <x:is>
          <x:t xml:space="preserve">Zapata rectangular, carga centrada y presión uniforme.</x:t>
        </x:is>
      </x:c>
      <x:c r="G6" s="10" t="inlineStr">
        <x:is>
          <x:t xml:space="preserve"/>
        </x:is>
      </x:c>
    </x:row>
    <x:row r="7" ht="58" customHeight="1">
      <x:c r="A7" s="8" t="inlineStr">
        <x:is>
          <x:t xml:space="preserve">Cortante unidireccional</x:t>
        </x:is>
      </x:c>
      <x:c r="B7" s="8" t="inlineStr">
        <x:is>
          <x:t xml:space="preserve">Guía pública NEC 2015</x:t>
        </x:is>
      </x:c>
      <x:c r="C7" s="8" t="inlineStr">
        <x:is>
          <x:t xml:space="preserve">Guía práctica de hormigón armado</x:t>
        </x:is>
      </x:c>
      <x:c r="D7" s="8" t="inlineStr">
        <x:is>
          <x:t xml:space="preserve">NEC 2015 · Guía de diseño 2</x:t>
        </x:is>
      </x:c>
      <x:c r="E7" s="8" t="inlineStr">
        <x:is>
          <x:t xml:space="preserve">Guía de diseño 2, sección 1.10.1.</x:t>
        </x:is>
      </x:c>
      <x:c r="F7" s="8" t="inlineStr">
        <x:is>
          <x:t xml:space="preserve">Hormigón de peso normal, columna centrada y presión última uniforme.</x:t>
        </x:is>
      </x:c>
      <x:c r="G7" s="10" t="inlineStr">
        <x:is>
          <x:t xml:space="preserve">https://www.habitatyvivienda.gob.ec/wp-content/uploads/2023/03/GUIA-2-HORMIGON-ARMADO-.pdf</x:t>
        </x:is>
      </x:c>
    </x:row>
    <x:row r="8" ht="58" customHeight="1">
      <x:c r="A8" s="8" t="inlineStr">
        <x:is>
          <x:t xml:space="preserve">Punzonamiento</x:t>
        </x:is>
      </x:c>
      <x:c r="B8" s="8" t="inlineStr">
        <x:is>
          <x:t xml:space="preserve">Guía pública NEC 2015</x:t>
        </x:is>
      </x:c>
      <x:c r="C8" s="8" t="inlineStr">
        <x:is>
          <x:t xml:space="preserve">Guía práctica de hormigón armado</x:t>
        </x:is>
      </x:c>
      <x:c r="D8" s="8" t="inlineStr">
        <x:is>
          <x:t xml:space="preserve">NEC 2015 · Guía de diseño 2</x:t>
        </x:is>
      </x:c>
      <x:c r="E8" s="8" t="inlineStr">
        <x:is>
          <x:t xml:space="preserve">Guía de diseño 2, secciones 1.10.2 a 1.10.4.</x:t>
        </x:is>
      </x:c>
      <x:c r="F8" s="8" t="inlineStr">
        <x:is>
          <x:t xml:space="preserve">Columna interior centrada y hormigón de peso normal.</x:t>
        </x:is>
      </x:c>
      <x:c r="G8" s="10" t="inlineStr">
        <x:is>
          <x:t xml:space="preserve">https://www.habitatyvivienda.gob.ec/wp-content/uploads/2023/03/GUIA-2-HORMIGON-ARMADO-.pdf</x:t>
        </x:is>
      </x:c>
    </x:row>
    <x:row r="9" ht="58" customHeight="1">
      <x:c r="A9" s="8" t="inlineStr">
        <x:is>
          <x:t xml:space="preserve">Flexión</x:t>
        </x:is>
      </x:c>
      <x:c r="B9" s="8" t="inlineStr">
        <x:is>
          <x:t xml:space="preserve">Equilibrio y geometría</x:t>
        </x:is>
      </x:c>
      <x:c r="C9" s="8" t="inlineStr">
        <x:is>
          <x:t xml:space="preserve">Derivación y alcance documentados por AndeLogic</x:t>
        </x:is>
      </x:c>
      <x:c r="D9" s="8" t="inlineStr">
        <x:is>
          <x:t xml:space="preserve">not-implemented</x:t>
        </x:is>
      </x:c>
      <x:c r="E9" s="8" t="inlineStr">
        <x:is>
          <x:t xml:space="preserve">Momento de una franja en voladizo con presión uniforme.</x:t>
        </x:is>
      </x:c>
      <x:c r="F9" s="8" t="inlineStr">
        <x:is>
          <x:t xml:space="preserve">Zapata rectangular, columna centrada y presión última uniforme.</x:t>
        </x:is>
      </x:c>
      <x:c r="G9" s="10" t="inlineStr">
        <x:is>
          <x:t xml:space="preserve"/>
        </x:is>
      </x:c>
    </x:row>
    <x:row r="10" ht="58" customHeight="1">
      <x:c r="A10" s="8" t="inlineStr">
        <x:is>
          <x:t xml:space="preserve">Acero mínimo y requerido</x:t>
        </x:is>
      </x:c>
      <x:c r="B10" s="8" t="inlineStr">
        <x:is>
          <x:t xml:space="preserve">Guía pública NEC 2015</x:t>
        </x:is>
      </x:c>
      <x:c r="C10" s="8" t="inlineStr">
        <x:is>
          <x:t xml:space="preserve">Guía práctica de hormigón armado</x:t>
        </x:is>
      </x:c>
      <x:c r="D10" s="8" t="inlineStr">
        <x:is>
          <x:t xml:space="preserve">NEC 2015 · Guía de diseño 2</x:t>
        </x:is>
      </x:c>
      <x:c r="E10" s="8" t="inlineStr">
        <x:is>
          <x:t xml:space="preserve">Guía de diseño 2, sección 1.10.5.</x:t>
        </x:is>
      </x:c>
      <x:c r="F10" s="8" t="inlineStr">
        <x:is>
          <x:t xml:space="preserve">Sección rectangular; no sustituye una comprobación completa de ductilidad y detallado.</x:t>
        </x:is>
      </x:c>
      <x:c r="G10" s="10" t="inlineStr">
        <x:is>
          <x:t xml:space="preserve">https://www.habitatyvivienda.gob.ec/wp-content/uploads/2023/03/GUIA-2-HORMIGON-ARMADO-.pdf</x:t>
        </x:is>
      </x:c>
    </x:row>
    <x:row r="11" ht="58" customHeight="1">
      <x:c r="A11" s="8" t="inlineStr">
        <x:is>
          <x:t xml:space="preserve">Longitud de desarrollo</x:t>
        </x:is>
      </x:c>
      <x:c r="B11" s="8" t="inlineStr">
        <x:is>
          <x:t xml:space="preserve">Guía pública NEC 2015</x:t>
        </x:is>
      </x:c>
      <x:c r="C11" s="8" t="inlineStr">
        <x:is>
          <x:t xml:space="preserve">Guía práctica de hormigón armado</x:t>
        </x:is>
      </x:c>
      <x:c r="D11" s="8" t="inlineStr">
        <x:is>
          <x:t xml:space="preserve">NEC 2015 · Guía de diseño 2</x:t>
        </x:is>
      </x:c>
      <x:c r="E11" s="8" t="inlineStr">
        <x:is>
          <x:t xml:space="preserve">Guía de diseño 2, sección 1.10.6.</x:t>
        </x:is>
      </x:c>
      <x:c r="F11" s="8" t="inlineStr">
        <x:is>
          <x:t xml:space="preserve">Barra a tracción sin recubrimiento especial, hormigón de peso normal y coeficientes unitarios.</x:t>
        </x:is>
      </x:c>
      <x:c r="G11" s="10" t="inlineStr">
        <x:is>
          <x:t xml:space="preserve">https://www.habitatyvivienda.gob.ec/wp-content/uploads/2023/03/GUIA-2-HORMIGON-ARMADO-.pdf</x:t>
        </x:is>
      </x:c>
    </x:row>
  </x:sheetData>
  <x:mergeCells>
    <x:mergeCell ref="A1:G1"/>
    <x:mergeCell ref="A3:G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8"/>
  <x:cols>
    <x:col min="1" max="1" width="28" customWidth="1"/>
    <x:col min="2" max="2" width="22" customWidth="1"/>
    <x:col min="3" max="3" width="72" customWidth="1"/>
    <x:col min="4" max="4" width="4" customWidth="1"/>
    <x:col min="5" max="5" width="4" customWidth="1"/>
  </x:cols>
  <x:sheetData>
    <x:row r="1" ht="28" customHeight="1">
      <x:c r="A1" s="1" t="inlineStr">
        <x:is>
          <x:t xml:space="preserve">CONTROL DE CAMBIOS Y USO RESPONSABLE</x:t>
        </x:is>
      </x:c>
    </x:row>
    <x:row r="3" ht="40" customHeight="1">
      <x:c r="A3" s="8" t="inlineStr">
        <x:is>
          <x:t xml:space="preserve">Este control detecta cambios dentro del libro. No firma el archivo ni convierte sus modificaciones en un nuevo proyecto AndeLogic.</x:t>
        </x:is>
      </x:c>
    </x:row>
    <x:row r="5">
      <x:c r="A5" s="3" t="inlineStr">
        <x:is>
          <x:t xml:space="preserve">Indicador</x:t>
        </x:is>
      </x:c>
      <x:c r="B5" s="3" t="inlineStr">
        <x:is>
          <x:t xml:space="preserve">Valor</x:t>
        </x:is>
      </x:c>
      <x:c r="C5" s="3" t="inlineStr">
        <x:is>
          <x:t xml:space="preserve">Interpretación</x:t>
        </x:is>
      </x:c>
    </x:row>
    <x:row r="6">
      <x:c r="A6" s="8" t="inlineStr">
        <x:is>
          <x:t xml:space="preserve">Entradas modificadas</x:t>
        </x:is>
      </x:c>
      <x:c r="B6" s="9" t="n">
        <x:f>COUNTIF('Entradas'!$F$6:$F$27,"Modificada")</x:f>
        <x:v>0</x:v>
      </x:c>
      <x:c r="C6" s="8" t="inlineStr">
        <x:is>
          <x:t xml:space="preserve">Diferencias entre la columna original y la columna editable.</x:t>
        </x:is>
      </x:c>
    </x:row>
    <x:row r="7">
      <x:c r="A7" s="8" t="inlineStr">
        <x:is>
          <x:t xml:space="preserve">Cálculos por revisar</x:t>
        </x:is>
      </x:c>
      <x:c r="B7" s="9" t="n">
        <x:f>COUNTIF('Cálculo completo'!$J$6:$J$24,"REVISAR")</x:f>
        <x:v>0</x:v>
      </x:c>
      <x:c r="C7" s="8" t="inlineStr">
        <x:is>
          <x:t xml:space="preserve">Resultados que ya no coinciden con el valor original. K permite comparar manualmente la fórmula.</x:t>
        </x:is>
      </x:c>
    </x:row>
    <x:row r="8">
      <x:c r="A8" s="8" t="inlineStr">
        <x:is>
          <x:t xml:space="preserve">Resultados con diferencia</x:t>
        </x:is>
      </x:c>
      <x:c r="B8" s="9" t="n">
        <x:f>COUNTIF('Cálculo completo'!$I$6:$I$24,"&lt;&gt;0")</x:f>
        <x:v>0</x:v>
      </x:c>
      <x:c r="C8" s="8" t="inlineStr">
        <x:is>
          <x:t xml:space="preserve">Resultados recalculados distintos del valor original AndeLogic.</x:t>
        </x:is>
      </x:c>
    </x:row>
    <x:row r="10" ht="28" customHeight="1">
      <x:c r="A10" s="3" t="inlineStr">
        <x:is>
          <x:t xml:space="preserve">Estado general</x:t>
        </x:is>
      </x:c>
      <x:c r="B10" s="11" t="str">
        <x:f>IF(SUM(B6:B8)=0,"Sin cambios","Libro modificado")</x:f>
        <x:v>Sin cambios</x:v>
      </x:c>
      <x:c r="C10" s="7" t="inlineStr">
        <x:is>
          <x:t xml:space="preserve">Si hay cambios, repítalos en AndeLogic y vuelva a analizar antes de adoptarlos.</x:t>
        </x:is>
      </x:c>
    </x:row>
    <x:row r="12">
      <x:c r="A12" s="2" t="inlineStr">
        <x:is>
          <x:t xml:space="preserve">Código de color</x:t>
        </x:is>
      </x:c>
    </x:row>
    <x:row r="13">
      <x:c r="A13" s="5" t="inlineStr">
        <x:is>
          <x:t xml:space="preserve">Azul</x:t>
        </x:is>
      </x:c>
      <x:c r="B13" s="8" t="inlineStr">
        <x:is>
          <x:t xml:space="preserve">Entrada editable</x:t>
        </x:is>
      </x:c>
    </x:row>
    <x:row r="14">
      <x:c r="A14" s="6" t="inlineStr">
        <x:is>
          <x:t xml:space="preserve">Verde</x:t>
        </x:is>
      </x:c>
      <x:c r="B14" s="8" t="inlineStr">
        <x:is>
          <x:t xml:space="preserve">Resultado con fórmula</x:t>
        </x:is>
      </x:c>
    </x:row>
    <x:row r="15">
      <x:c r="A15" s="4" t="inlineStr">
        <x:is>
          <x:t xml:space="preserve">Gris</x:t>
        </x:is>
      </x:c>
      <x:c r="B15" s="8" t="inlineStr">
        <x:is>
          <x:t xml:space="preserve">Valor original AndeLogic</x:t>
        </x:is>
      </x:c>
    </x:row>
    <x:row r="16">
      <x:c r="A16" s="7" t="inlineStr">
        <x:is>
          <x:t xml:space="preserve">Amarillo</x:t>
        </x:is>
      </x:c>
      <x:c r="B16" s="8" t="inlineStr">
        <x:is>
          <x:t xml:space="preserve">Advertencia, límite o referencia en validación</x:t>
        </x:is>
      </x:c>
    </x:row>
  </x:sheetData>
  <x:mergeCells>
    <x:mergeCell ref="A1:E1"/>
    <x:mergeCell ref="A3:E3"/>
    <x:mergeCell ref="A12:E12"/>
  </x:mergeCells>
  <x:pageMargins left="0.7" right="0.7" top="0.75" bottom="0.75" header="0.3" footer="0.3"/>
</x:worksheet>
</file>
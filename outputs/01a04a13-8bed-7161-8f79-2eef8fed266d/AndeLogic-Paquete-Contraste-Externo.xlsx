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dcd3e5e05a49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04e133ab3b9042dd"/>
    <x:sheet xmlns:r="http://schemas.openxmlformats.org/officeDocument/2006/relationships" name="Matriz" sheetId="2" r:id="R34643534d3494e02"/>
    <x:sheet xmlns:r="http://schemas.openxmlformats.org/officeDocument/2006/relationships" name="Entradas" sheetId="3" r:id="Rbe4f25787b264710"/>
    <x:sheet xmlns:r="http://schemas.openxmlformats.org/officeDocument/2006/relationships" name="Métricas" sheetId="4" r:id="Rbfe921e77fd34d80"/>
    <x:sheet xmlns:r="http://schemas.openxmlformats.org/officeDocument/2006/relationships" name="Evidencias" sheetId="5" r:id="R280c75e3f51444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%"/>
    <x:numFmt numFmtId="202" formatCode="0.0000"/>
    <x:numFmt numFmtId="203" formatCode="0.00%"/>
    <x:numFmt numFmtId="204" formatCode="yyyy-mm-dd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2937"/>
      <x:name val="Carlito"/>
    </x:font>
    <x:font>
      <x:b/>
      <x:sz val="11"/>
      <x:color rgb="FF7A5200"/>
      <x:name val="Carlito"/>
    </x:font>
    <x:font>
      <x:b/>
      <x:sz val="11"/>
      <x:color rgb="FFFFFFFF"/>
      <x:name val="Carlito"/>
    </x:font>
    <x:font>
      <x:b/>
      <x:sz val="11"/>
      <x:color rgb="FF12355B"/>
      <x:name val="Carlito"/>
    </x:font>
    <x:font>
      <x:sz val="11"/>
      <x:color rgb="FF0563C1"/>
      <x:name val="Carlito"/>
    </x:font>
    <x:font>
      <x:b/>
      <x:sz val="18"/>
      <x:color rgb="FF1F2937"/>
      <x:name val="Aptos"/>
    </x:font>
    <x:font>
      <x:i/>
      <x:sz val="11"/>
      <x:color rgb="FF1F2937"/>
      <x:name val="Aptos"/>
    </x:font>
    <x:font>
      <x:sz val="11"/>
      <x:color rgb="FF1F2937"/>
      <x:name val="Aptos"/>
    </x:font>
    <x:font>
      <x:b/>
      <x:sz val="11"/>
      <x:color rgb="FF1F2937"/>
      <x:name val="Aptos"/>
    </x:font>
    <x:font>
      <x:b/>
      <x:sz val="18"/>
      <x:color rgb="FFFFFFFF"/>
      <x:name val="Aptos Display"/>
    </x:font>
  </x:fonts>
  <x:fills count="8">
    <x:fill>
      <x:patternFill patternType="none"/>
    </x:fill>
    <x:fill>
      <x:patternFill patternType="gray125"/>
    </x:fill>
    <x:fill>
      <x:patternFill patternType="solid">
        <x:fgColor rgb="FF12355B"/>
      </x:patternFill>
    </x:fill>
    <x:fill>
      <x:patternFill patternType="solid">
        <x:fgColor rgb="FFEAF2F8"/>
      </x:patternFill>
    </x:fill>
    <x:fill>
      <x:patternFill patternType="solid">
        <x:fgColor rgb="FFFFF3CD"/>
      </x:patternFill>
    </x:fill>
    <x:fill>
      <x:patternFill patternType="solid">
        <x:fgColor rgb="FF1B998B"/>
      </x:patternFill>
    </x:fill>
    <x:fill>
      <x:patternFill patternType="solid">
        <x:fgColor rgb="FFF4F6F8"/>
      </x:patternFill>
    </x:fill>
    <x:fill>
      <x:patternFill patternType="solid">
        <x:fgColor rgb="FFE8F1FB"/>
      </x:patternFill>
    </x:fill>
  </x:fills>
  <x:borders count="16">
    <x:border/>
    <x:border>
      <x:left style="thin">
        <x:color rgb="FFCCD6E0"/>
      </x:left>
      <x:top style="thin">
        <x:color rgb="FFCCD6E0"/>
      </x:top>
      <x:bottom style="thin">
        <x:color rgb="FFCCD6E0"/>
      </x:bottom>
    </x:border>
    <x:border>
      <x:right style="thin">
        <x:color rgb="FFCCD6E0"/>
      </x:right>
      <x:top style="thin">
        <x:color rgb="FFCCD6E0"/>
      </x:top>
      <x:bottom style="thin">
        <x:color rgb="FFCCD6E0"/>
      </x:bottom>
    </x:border>
    <x:border>
      <x:top style="thin">
        <x:color rgb="FFCCD6E0"/>
      </x:top>
      <x:bottom style="thin">
        <x:color rgb="FFCCD6E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1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10" fillId="4" borderId="0" xfId="0" applyNumberFormat="1" applyFont="1" applyFill="1" applyBorder="1" applyAlignment="1">
      <x:alignment vertical="center"/>
    </x:xf>
    <x:xf numFmtId="0" fontId="10" fillId="5" borderId="1" xfId="0" applyNumberFormat="1" applyFont="1" applyFill="1" applyBorder="1" applyAlignment="1">
      <x:alignment vertical="center" wrapText="1"/>
    </x:xf>
    <x:xf numFmtId="0" fontId="10" fillId="5" borderId="2" xfId="0" applyNumberFormat="1" applyFont="1" applyFill="1" applyBorder="1" applyAlignment="1">
      <x:alignment vertical="center" wrapText="1"/>
    </x:xf>
    <x:xf numFmtId="0" fontId="10" fillId="6" borderId="0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201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201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10" fillId="5" borderId="3" xfId="0" applyNumberFormat="1" applyFont="1" applyFill="1" applyBorder="1" applyAlignment="1">
      <x:alignment vertical="center" wrapText="1"/>
    </x:xf>
    <x:xf numFmtId="0" fontId="9" fillId="0" borderId="4" xfId="0" applyNumberFormat="1" applyFont="1" applyFill="1" applyBorder="1"/>
    <x:xf numFmtId="0" fontId="9" fillId="0" borderId="5" xfId="0" applyNumberFormat="1" applyFont="1" applyFill="1" applyBorder="1"/>
    <x:xf numFmtId="200" fontId="9" fillId="0" borderId="5" xfId="0" applyNumberFormat="1" applyFont="1" applyFill="1" applyBorder="1"/>
    <x:xf numFmtId="201" fontId="9" fillId="0" borderId="5" xfId="0" applyNumberFormat="1" applyFont="1" applyFill="1" applyBorder="1"/>
    <x:xf numFmtId="0" fontId="9" fillId="0" borderId="6" xfId="0" applyNumberFormat="1" applyFont="1" applyFill="1" applyBorder="1"/>
    <x:xf numFmtId="0" fontId="9" fillId="0" borderId="7" xfId="0" applyNumberFormat="1" applyFont="1" applyFill="1" applyBorder="1"/>
    <x:xf numFmtId="0" fontId="9" fillId="0" borderId="8" xfId="0" applyNumberFormat="1" applyFont="1" applyFill="1" applyBorder="1"/>
    <x:xf numFmtId="200" fontId="9" fillId="0" borderId="8" xfId="0" applyNumberFormat="1" applyFont="1" applyFill="1" applyBorder="1"/>
    <x:xf numFmtId="201" fontId="9" fillId="0" borderId="8" xfId="0" applyNumberFormat="1" applyFont="1" applyFill="1" applyBorder="1"/>
    <x:xf numFmtId="0" fontId="9" fillId="0" borderId="9" xfId="0" applyNumberFormat="1" applyFont="1" applyFill="1" applyBorder="1"/>
    <x:xf numFmtId="0" fontId="9" fillId="0" borderId="10" xfId="0" applyNumberFormat="1" applyFont="1" applyFill="1" applyBorder="1"/>
    <x:xf numFmtId="0" fontId="9" fillId="0" borderId="11" xfId="0" applyNumberFormat="1" applyFont="1" applyFill="1" applyBorder="1"/>
    <x:xf numFmtId="200" fontId="9" fillId="0" borderId="11" xfId="0" applyNumberFormat="1" applyFont="1" applyFill="1" applyBorder="1"/>
    <x:xf numFmtId="201" fontId="9" fillId="0" borderId="11" xfId="0" applyNumberFormat="1" applyFont="1" applyFill="1" applyBorder="1"/>
    <x:xf numFmtId="0" fontId="9" fillId="0" borderId="12" xfId="0" applyNumberFormat="1" applyFont="1" applyFill="1" applyBorder="1"/>
    <x:xf numFmtId="202" fontId="0" fillId="0" borderId="0" xfId="0" applyNumberFormat="1" applyFont="1" applyFill="1" applyBorder="1"/>
    <x:xf numFmtId="0" fontId="0" fillId="0" borderId="13" xfId="0" applyNumberFormat="1" applyFont="1" applyFill="1" applyBorder="1"/>
    <x:xf numFmtId="202" fontId="0" fillId="0" borderId="13" xfId="0" applyNumberFormat="1" applyFont="1" applyFill="1" applyBorder="1"/>
    <x:xf numFmtId="0" fontId="0" fillId="0" borderId="14" xfId="0" applyNumberFormat="1" applyFont="1" applyFill="1" applyBorder="1"/>
    <x:xf numFmtId="202" fontId="0" fillId="0" borderId="14" xfId="0" applyNumberFormat="1" applyFont="1" applyFill="1" applyBorder="1"/>
    <x:xf numFmtId="0" fontId="0" fillId="0" borderId="15" xfId="0" applyNumberFormat="1" applyFont="1" applyFill="1" applyBorder="1"/>
    <x:xf numFmtId="202" fontId="0" fillId="0" borderId="15" xfId="0" applyNumberFormat="1" applyFont="1" applyFill="1" applyBorder="1"/>
    <x:xf numFmtId="0" fontId="9" fillId="0" borderId="13" xfId="0" applyNumberFormat="1" applyFont="1" applyFill="1" applyBorder="1"/>
    <x:xf numFmtId="202" fontId="9" fillId="0" borderId="13" xfId="0" applyNumberFormat="1" applyFont="1" applyFill="1" applyBorder="1"/>
    <x:xf numFmtId="0" fontId="9" fillId="0" borderId="14" xfId="0" applyNumberFormat="1" applyFont="1" applyFill="1" applyBorder="1"/>
    <x:xf numFmtId="202" fontId="9" fillId="0" borderId="14" xfId="0" applyNumberFormat="1" applyFont="1" applyFill="1" applyBorder="1"/>
    <x:xf numFmtId="0" fontId="9" fillId="0" borderId="15" xfId="0" applyNumberFormat="1" applyFont="1" applyFill="1" applyBorder="1"/>
    <x:xf numFmtId="202" fontId="9" fillId="0" borderId="15" xfId="0" applyNumberFormat="1" applyFont="1" applyFill="1" applyBorder="1"/>
    <x:xf numFmtId="203" fontId="0" fillId="0" borderId="0" xfId="0" applyNumberFormat="1" applyFont="1" applyFill="1" applyBorder="1"/>
    <x:xf numFmtId="203" fontId="0" fillId="0" borderId="13" xfId="0" applyNumberFormat="1" applyFont="1" applyFill="1" applyBorder="1"/>
    <x:xf numFmtId="203" fontId="0" fillId="0" borderId="14" xfId="0" applyNumberFormat="1" applyFont="1" applyFill="1" applyBorder="1"/>
    <x:xf numFmtId="203" fontId="0" fillId="0" borderId="15" xfId="0" applyNumberFormat="1" applyFont="1" applyFill="1" applyBorder="1"/>
    <x:xf numFmtId="203" fontId="9" fillId="0" borderId="13" xfId="0" applyNumberFormat="1" applyFont="1" applyFill="1" applyBorder="1"/>
    <x:xf numFmtId="203" fontId="9" fillId="0" borderId="14" xfId="0" applyNumberFormat="1" applyFont="1" applyFill="1" applyBorder="1"/>
    <x:xf numFmtId="203" fontId="9" fillId="0" borderId="15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202" fontId="6" fillId="7" borderId="0" xfId="0" applyNumberFormat="1" applyFont="1" applyFill="1" applyBorder="1"/>
    <x:xf numFmtId="204" fontId="6" fillId="7" borderId="0" xfId="0" applyNumberFormat="1" applyFont="1" applyFill="1" applyBorder="1"/>
    <x:xf numFmtId="0" fontId="6" fillId="7" borderId="13" xfId="0" applyNumberFormat="1" applyFont="1" applyFill="1" applyBorder="1"/>
    <x:xf numFmtId="202" fontId="6" fillId="7" borderId="13" xfId="0" applyNumberFormat="1" applyFont="1" applyFill="1" applyBorder="1"/>
    <x:xf numFmtId="204" fontId="6" fillId="7" borderId="13" xfId="0" applyNumberFormat="1" applyFont="1" applyFill="1" applyBorder="1"/>
    <x:xf numFmtId="0" fontId="6" fillId="7" borderId="14" xfId="0" applyNumberFormat="1" applyFont="1" applyFill="1" applyBorder="1"/>
    <x:xf numFmtId="202" fontId="6" fillId="7" borderId="14" xfId="0" applyNumberFormat="1" applyFont="1" applyFill="1" applyBorder="1"/>
    <x:xf numFmtId="204" fontId="6" fillId="7" borderId="14" xfId="0" applyNumberFormat="1" applyFont="1" applyFill="1" applyBorder="1"/>
    <x:xf numFmtId="0" fontId="6" fillId="7" borderId="15" xfId="0" applyNumberFormat="1" applyFont="1" applyFill="1" applyBorder="1"/>
    <x:xf numFmtId="202" fontId="6" fillId="7" borderId="15" xfId="0" applyNumberFormat="1" applyFont="1" applyFill="1" applyBorder="1"/>
    <x:xf numFmtId="204" fontId="6" fillId="7" borderId="15" xfId="0" applyNumberFormat="1" applyFont="1" applyFill="1" applyBorder="1"/>
    <x:xf numFmtId="0" fontId="9" fillId="7" borderId="13" xfId="0" applyNumberFormat="1" applyFont="1" applyFill="1" applyBorder="1"/>
    <x:xf numFmtId="202" fontId="9" fillId="7" borderId="13" xfId="0" applyNumberFormat="1" applyFont="1" applyFill="1" applyBorder="1"/>
    <x:xf numFmtId="204" fontId="9" fillId="7" borderId="13" xfId="0" applyNumberFormat="1" applyFont="1" applyFill="1" applyBorder="1"/>
    <x:xf numFmtId="0" fontId="9" fillId="7" borderId="14" xfId="0" applyNumberFormat="1" applyFont="1" applyFill="1" applyBorder="1"/>
    <x:xf numFmtId="202" fontId="9" fillId="7" borderId="14" xfId="0" applyNumberFormat="1" applyFont="1" applyFill="1" applyBorder="1"/>
    <x:xf numFmtId="204" fontId="9" fillId="7" borderId="14" xfId="0" applyNumberFormat="1" applyFont="1" applyFill="1" applyBorder="1"/>
    <x:xf numFmtId="0" fontId="9" fillId="7" borderId="15" xfId="0" applyNumberFormat="1" applyFont="1" applyFill="1" applyBorder="1"/>
    <x:xf numFmtId="202" fontId="9" fillId="7" borderId="15" xfId="0" applyNumberFormat="1" applyFont="1" applyFill="1" applyBorder="1"/>
    <x:xf numFmtId="204" fontId="9" fillId="7" borderId="15" xfId="0" applyNumberFormat="1" applyFont="1" applyFill="1" applyBorder="1"/>
  </x:cellXfs>
  <x:cellStyles count="1">
    <x:cellStyle name="Normal" xfId="0"/>
  </x:cellStyles>
  <x:dxfs count="7">
    <x:dxf>
      <x:font>
        <x:b/>
        <x:color rgb="FF7A5200"/>
      </x:font>
      <x:fill>
        <x:patternFill patternType="solid">
          <x:bgColor rgb="FFFFF3CD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116149"/>
      </x:font>
      <x:fill>
        <x:patternFill patternType="solid">
          <x:bgColor rgb="FFDFF4EA"/>
        </x:patternFill>
      </x:fill>
    </x:dxf>
    <x:dxf>
      <x:font>
        <x:b/>
        <x:color rgb="FF7A5200"/>
      </x:font>
      <x:fill>
        <x:patternFill patternType="solid">
          <x:bgColor rgb="FFFFF3CD"/>
        </x:patternFill>
      </x:fill>
    </x:dxf>
    <x:dxf>
      <x:font>
        <x:b/>
        <x:color rgb="FF116149"/>
      </x:font>
      <x:fill>
        <x:patternFill patternType="solid">
          <x:bgColor rgb="FFDFF4EA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690cc4a5114328" /><Relationship Type="http://schemas.openxmlformats.org/officeDocument/2006/relationships/theme" Target="/xl/theme/theme1.xml" Id="R1e54e08a25d84ac2" /><Relationship Type="http://schemas.openxmlformats.org/officeDocument/2006/relationships/sharedStrings" Target="/xl/sharedStrings.xml" Id="Rb97b578bb7f4477a" /><Relationship Type="http://schemas.openxmlformats.org/officeDocument/2006/relationships/worksheet" Target="/xl/worksheets/sheet1.xml" Id="R04e133ab3b9042dd" /><Relationship Type="http://schemas.openxmlformats.org/officeDocument/2006/relationships/worksheet" Target="/xl/worksheets/sheet2.xml" Id="R34643534d3494e02" /><Relationship Type="http://schemas.openxmlformats.org/officeDocument/2006/relationships/worksheet" Target="/xl/worksheets/sheet3.xml" Id="Rbe4f25787b264710" /><Relationship Type="http://schemas.openxmlformats.org/officeDocument/2006/relationships/worksheet" Target="/xl/worksheets/sheet4.xml" Id="Rbfe921e77fd34d80" /><Relationship Type="http://schemas.openxmlformats.org/officeDocument/2006/relationships/worksheet" Target="/xl/worksheets/sheet5.xml" Id="R280c75e3f51444bd" /></Relationships>
</file>

<file path=xl/tables/table1.xml><?xml version="1.0" encoding="utf-8"?>
<x:table xmlns:x="http://schemas.openxmlformats.org/spreadsheetml/2006/main" id="1" name="ValidationMatrix" displayName="ValidationMatrix" ref="A5:J13" headerRowCount="1" totalsRowCount="0" totalsRowShown="0">
  <x:tableColumns count="10">
    <x:tableColumn id="1" name="Tipo"/>
    <x:tableColumn id="2" name="Familia"/>
    <x:tableColumn id="3" name="Caso"/>
    <x:tableColumn id="4" name="Métricas"/>
    <x:tableColumn id="5" name="Paquetes requeridos"/>
    <x:tableColumn id="6" name="Paquetes completos"/>
    <x:tableColumn id="7" name="Observaciones bloqueadas"/>
    <x:tableColumn id="8" name="Observaciones pendientes"/>
    <x:tableColumn id="9" name="Avance"/>
    <x:tableColumn id="10" name="Estad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nonicalInputs" displayName="CanonicalInputs" ref="A4:F223" headerRowCount="1" totalsRowCount="0" totalsRowShown="0">
  <x:tableColumns count="6">
    <x:tableColumn id="1" name="Tipo"/>
    <x:tableColumn id="2" name="Familia"/>
    <x:tableColumn id="3" name="Caso"/>
    <x:tableColumn id="4" name="Parámetro"/>
    <x:tableColumn id="5" name="Valor"/>
    <x:tableColumn id="6" name="Unida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ngineMetrics" displayName="EngineMetrics" ref="A4:L28" headerRowCount="1" totalsRowCount="0" totalsRowShown="0">
  <x:tableColumns count="12">
    <x:tableColumn id="1" name="Clave"/>
    <x:tableColumn id="2" name="Tipo"/>
    <x:tableColumn id="3" name="Familia"/>
    <x:tableColumn id="4" name="Caso"/>
    <x:tableColumn id="5" name="Métrica"/>
    <x:tableColumn id="6" name="Descripción"/>
    <x:tableColumn id="7" name="AndeLogic"/>
    <x:tableColumn id="8" name="Unidad"/>
    <x:tableColumn id="9" name="Tol. absoluta"/>
    <x:tableColumn id="10" name="Tol. relativa"/>
    <x:tableColumn id="11" name="Perfil"/>
    <x:tableColumn id="12" name="Firma de hipótesi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ternalEvidence" displayName="ExternalEvidence" ref="A4:T76" headerRowCount="1" totalsRowCount="0" totalsRowShown="0">
  <x:tableColumns count="20">
    <x:tableColumn id="1" name="Clave"/>
    <x:tableColumn id="2" name="Tipo"/>
    <x:tableColumn id="3" name="Familia"/>
    <x:tableColumn id="4" name="Caso"/>
    <x:tableColumn id="5" name="Métrica"/>
    <x:tableColumn id="6" name="Ranura"/>
    <x:tableColumn id="7" name="Clase"/>
    <x:tableColumn id="8" name="ID fuente"/>
    <x:tableColumn id="9" name="Producto / autor"/>
    <x:tableColumn id="10" name="Versión"/>
    <x:tableColumn id="11" name="Perfil"/>
    <x:tableColumn id="12" name="Firma de hipótesis"/>
    <x:tableColumn id="13" name="Valor externo"/>
    <x:tableColumn id="14" name="Unidad"/>
    <x:tableColumn id="15" name="URL / archivo de evidencia"/>
    <x:tableColumn id="16" name="Fecha captura"/>
    <x:tableColumn id="17" name="Responsable"/>
    <x:tableColumn id="18" name="Diferencia absoluta"/>
    <x:tableColumn id="19" name="Diferencia relativa"/>
    <x:tableColumn id="20" name="Es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75c092d4cc4d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9ab4ce3245c48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b4c3732e8d46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6b31c314d24f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4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 ht="34" customHeight="1">
      <x:c r="A1" s="33" t="str">
        <x:v>AndeLogic Zapatas · paquete de contraste externo</x:v>
      </x:c>
      <x:c r="B1" s="33" t="str">
        <x:v>AndeLogic Zapatas · paquete de contraste externo</x:v>
      </x:c>
      <x:c r="C1" s="33" t="str">
        <x:v>AndeLogic Zapatas · paquete de contraste externo</x:v>
      </x:c>
      <x:c r="D1" s="33" t="str">
        <x:v>AndeLogic Zapatas · paquete de contraste externo</x:v>
      </x:c>
      <x:c r="E1" s="33" t="str">
        <x:v>AndeLogic Zapatas · paquete de contraste externo</x:v>
      </x:c>
      <x:c r="F1" s="33" t="str">
        <x:v>AndeLogic Zapatas · paquete de contraste externo</x:v>
      </x:c>
      <x:c r="G1" s="33" t="str">
        <x:v>AndeLogic Zapatas · paquete de contraste externo</x:v>
      </x:c>
      <x:c r="H1" s="33" t="str">
        <x:v>AndeLogic Zapatas · paquete de contraste externo</x:v>
      </x:c>
    </x:row>
    <x:row r="2" ht="32" customHeight="1">
      <x:c r="A2" s="26" t="str">
        <x:v>Plantilla preparada para registrar evidencia reproducible. Las celdas vacías no representan cero ni una validación completada.</x:v>
      </x:c>
      <x:c r="B2" s="26" t="str">
        <x:v>Plantilla preparada para registrar evidencia reproducible. Las celdas vacías no representan cero ni una validación completada.</x:v>
      </x:c>
      <x:c r="C2" s="26" t="str">
        <x:v>Plantilla preparada para registrar evidencia reproducible. Las celdas vacías no representan cero ni una validación completada.</x:v>
      </x:c>
      <x:c r="D2" s="26" t="str">
        <x:v>Plantilla preparada para registrar evidencia reproducible. Las celdas vacías no representan cero ni una validación completada.</x:v>
      </x:c>
      <x:c r="E2" s="26" t="str">
        <x:v>Plantilla preparada para registrar evidencia reproducible. Las celdas vacías no representan cero ni una validación completada.</x:v>
      </x:c>
      <x:c r="F2" s="26" t="str">
        <x:v>Plantilla preparada para registrar evidencia reproducible. Las celdas vacías no representan cero ni una validación completada.</x:v>
      </x:c>
      <x:c r="G2" s="26" t="str">
        <x:v>Plantilla preparada para registrar evidencia reproducible. Las celdas vacías no representan cero ni una validación completada.</x:v>
      </x:c>
      <x:c r="H2" s="26" t="str">
        <x:v>Plantilla preparada para registrar evidencia reproducible. Las celdas vacías no representan cero ni una validación completada.</x:v>
      </x:c>
    </x:row>
    <x:row r="3">
      <x:c r="A3" s="27"/>
      <x:c r="B3" s="27"/>
      <x:c r="C3" s="27"/>
      <x:c r="D3" s="27"/>
      <x:c r="E3" s="27"/>
      <x:c r="F3" s="27"/>
      <x:c r="G3" s="27"/>
      <x:c r="H3" s="27"/>
    </x:row>
    <x:row r="4">
      <x:c r="A4" s="28" t="str">
        <x:v>Estado actual: 0 de 3 paquetes externos completados por familia · liberación pendiente</x:v>
      </x:c>
      <x:c r="B4" s="28" t="str">
        <x:v>Estado actual: 0 de 3 paquetes externos completados por familia · liberación pendiente</x:v>
      </x:c>
      <x:c r="C4" s="28" t="str">
        <x:v>Estado actual: 0 de 3 paquetes externos completados por familia · liberación pendiente</x:v>
      </x:c>
      <x:c r="D4" s="28" t="str">
        <x:v>Estado actual: 0 de 3 paquetes externos completados por familia · liberación pendiente</x:v>
      </x:c>
      <x:c r="E4" s="28" t="str">
        <x:v>Estado actual: 0 de 3 paquetes externos completados por familia · liberación pendiente</x:v>
      </x:c>
      <x:c r="F4" s="28" t="str">
        <x:v>Estado actual: 0 de 3 paquetes externos completados por familia · liberación pendiente</x:v>
      </x:c>
      <x:c r="G4" s="28" t="str">
        <x:v>Estado actual: 0 de 3 paquetes externos completados por familia · liberación pendiente</x:v>
      </x:c>
      <x:c r="H4" s="28" t="str">
        <x:v>Estado actual: 0 de 3 paquetes externos completados por familia · liberación pendiente</x:v>
      </x:c>
    </x:row>
    <x:row r="5">
      <x:c r="A5" s="27"/>
      <x:c r="B5" s="27"/>
      <x:c r="C5" s="27"/>
      <x:c r="D5" s="27"/>
      <x:c r="E5" s="27"/>
      <x:c r="F5" s="27"/>
      <x:c r="G5" s="27"/>
      <x:c r="H5" s="27"/>
    </x:row>
    <x:row r="6" ht="30" customHeight="1">
      <x:c r="A6" s="29" t="str">
        <x:v>Paso</x:v>
      </x:c>
      <x:c r="B6" s="30" t="str">
        <x:v>Acción requerida</x:v>
      </x:c>
      <x:c r="C6" s="27"/>
      <x:c r="D6" s="27"/>
      <x:c r="E6" s="27"/>
      <x:c r="F6" s="27"/>
      <x:c r="G6" s="27"/>
      <x:c r="H6" s="27"/>
    </x:row>
    <x:row r="7" ht="38" customHeight="1">
      <x:c r="A7" s="31" t="n">
        <x:v>1</x:v>
      </x:c>
      <x:c r="B7" s="32" t="str">
        <x:v>Selecciona una familia en Matriz y revisa su caso, alcance y firma de hipótesis.</x:v>
      </x:c>
      <x:c r="C7" s="27"/>
      <x:c r="D7" s="27"/>
      <x:c r="E7" s="27"/>
      <x:c r="F7" s="27"/>
      <x:c r="G7" s="27"/>
      <x:c r="H7" s="27"/>
    </x:row>
    <x:row r="8" ht="38" customHeight="1">
      <x:c r="A8" s="31" t="n">
        <x:v>2</x:v>
      </x:c>
      <x:c r="B8" s="32" t="str">
        <x:v>Reproduce exactamente las entradas de la pestaña Entradas en la fuente o programa externo.</x:v>
      </x:c>
      <x:c r="C8" s="27"/>
      <x:c r="D8" s="27"/>
      <x:c r="E8" s="27"/>
      <x:c r="F8" s="27"/>
      <x:c r="G8" s="27"/>
      <x:c r="H8" s="27"/>
    </x:row>
    <x:row r="9" ht="38" customHeight="1">
      <x:c r="A9" s="31" t="n">
        <x:v>3</x:v>
      </x:c>
      <x:c r="B9" s="32" t="str">
        <x:v>Confirma unidades, peso propio, relleno, base bruta/neta, secciones críticas y convenciones.</x:v>
      </x:c>
      <x:c r="C9" s="27"/>
      <x:c r="D9" s="27"/>
      <x:c r="E9" s="27"/>
      <x:c r="F9" s="27"/>
      <x:c r="G9" s="27"/>
      <x:c r="H9" s="27"/>
    </x:row>
    <x:row r="10" ht="38" customHeight="1">
      <x:c r="A10" s="31" t="n">
        <x:v>4</x:v>
      </x:c>
      <x:c r="B10" s="32" t="str">
        <x:v>Completa únicamente las celdas azules de Evidencias: fuente, producto, versión, valor, archivo/URL, fecha y responsable.</x:v>
      </x:c>
      <x:c r="C10" s="27"/>
      <x:c r="D10" s="27"/>
      <x:c r="E10" s="27"/>
      <x:c r="F10" s="27"/>
      <x:c r="G10" s="27"/>
      <x:c r="H10" s="27"/>
    </x:row>
    <x:row r="11" ht="38" customHeight="1">
      <x:c r="A11" s="31" t="n">
        <x:v>5</x:v>
      </x:c>
      <x:c r="B11" s="32" t="str">
        <x:v>No cambies las tolerancias después de observar el resultado. Toda diferencia debe explicarse y convertirse en una decisión trazable.</x:v>
      </x:c>
      <x:c r="C11" s="27"/>
      <x:c r="D11" s="27"/>
      <x:c r="E11" s="27"/>
      <x:c r="F11" s="27"/>
      <x:c r="G11" s="27"/>
      <x:c r="H11" s="27"/>
    </x:row>
    <x:row r="12" ht="38" customHeight="1">
      <x:c r="A12" s="31" t="n">
        <x:v>6</x:v>
      </x:c>
      <x:c r="B12" s="32" t="str">
        <x:v>Integra al código solo paquetes completos y compatibles; el libro por sí solo no eleva el estado técnico.</x:v>
      </x:c>
      <x:c r="C12" s="27"/>
      <x:c r="D12" s="27"/>
      <x:c r="E12" s="27"/>
      <x:c r="F12" s="27"/>
      <x:c r="G12" s="27"/>
      <x:c r="H12" s="27"/>
    </x:row>
    <x:row r="13">
      <x:c r="A13" s="27"/>
      <x:c r="B13" s="27"/>
      <x:c r="C13" s="27"/>
      <x:c r="D13" s="27"/>
      <x:c r="E13" s="27"/>
      <x:c r="F13" s="27"/>
      <x:c r="G13" s="27"/>
      <x:c r="H13" s="27"/>
    </x:row>
    <x:row r="14" ht="30" customHeight="1">
      <x:c r="A14" s="29" t="str">
        <x:v>Referencia</x:v>
      </x:c>
      <x:c r="B14" s="30" t="str">
        <x:v>Ubicación</x:v>
      </x:c>
      <x:c r="C14" s="27"/>
      <x:c r="D14" s="27"/>
      <x:c r="E14" s="27"/>
      <x:c r="F14" s="27"/>
      <x:c r="G14" s="27"/>
      <x:c r="H14" s="27"/>
    </x:row>
    <x:row r="15">
      <x:c r="A15" s="27" t="str">
        <x:v>Protocolo externo</x:v>
      </x:c>
      <x:c r="B15" s="27" t="str">
        <x:v>docs/09-external-benchmark-protocol.md</x:v>
      </x:c>
      <x:c r="C15" s="27"/>
      <x:c r="D15" s="27"/>
      <x:c r="E15" s="27"/>
      <x:c r="F15" s="27"/>
      <x:c r="G15" s="27"/>
      <x:c r="H15" s="27"/>
    </x:row>
    <x:row r="16">
      <x:c r="A16" s="27" t="str">
        <x:v>Plan de endurecimiento</x:v>
      </x:c>
      <x:c r="B16" s="27" t="str">
        <x:v>docs/24-validation-hardening-plan.md</x:v>
      </x:c>
      <x:c r="C16" s="27"/>
      <x:c r="D16" s="27"/>
      <x:c r="E16" s="27"/>
      <x:c r="F16" s="27"/>
      <x:c r="G16" s="27"/>
      <x:c r="H16" s="27"/>
    </x:row>
    <x:row r="17">
      <x:c r="A17" s="27" t="str">
        <x:v>Definición del paquete</x:v>
      </x:c>
      <x:c r="B17" s="27" t="str">
        <x:v>docs/25-external-benchmark-case-pack.md</x:v>
      </x:c>
      <x:c r="C17" s="27"/>
      <x:c r="D17" s="27"/>
      <x:c r="E17" s="27"/>
      <x:c r="F17" s="27"/>
      <x:c r="G17" s="27"/>
      <x:c r="H17" s="27"/>
    </x:row>
    <x:row r="18">
      <x:c r="A18" s="27" t="str">
        <x:v>Portal oficial NEC</x:v>
      </x:c>
      <x:c r="B18" s="27" t="str">
        <x:v>https://www.mit.gob.ec/norma-ecuatoriana-de-la-construccion/</x:v>
      </x:c>
      <x:c r="C18" s="27"/>
      <x:c r="D18" s="27"/>
      <x:c r="E18" s="27"/>
      <x:c r="F18" s="27"/>
      <x:c r="G18" s="27"/>
      <x:c r="H18" s="27"/>
    </x:row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7" hidden="0" customWidth="1"/>
    <x:col min="3" max="3" width="27" hidden="0" customWidth="1"/>
    <x:col min="4" max="4" width="11" hidden="0" customWidth="1"/>
    <x:col min="5" max="5" width="15" hidden="0" customWidth="1"/>
    <x:col min="6" max="6" width="15" hidden="0" customWidth="1"/>
    <x:col min="7" max="7" width="17" hidden="0" customWidth="1"/>
    <x:col min="8" max="8" width="17" hidden="0" customWidth="1"/>
    <x:col min="9" max="9" width="11" hidden="0" customWidth="1"/>
    <x:col min="10" max="10" width="22" hidden="0" customWidth="1"/>
  </x:cols>
  <x:sheetData>
    <x:row r="1" ht="34" customHeight="1">
      <x:c r="A1" s="33" t="str">
        <x:v>Matriz de avance por familia</x:v>
      </x:c>
      <x:c r="B1" s="33" t="str">
        <x:v>Matriz de avance por familia</x:v>
      </x:c>
      <x:c r="C1" s="33" t="str">
        <x:v>Matriz de avance por familia</x:v>
      </x:c>
      <x:c r="D1" s="33" t="str">
        <x:v>Matriz de avance por familia</x:v>
      </x:c>
      <x:c r="E1" s="33" t="str">
        <x:v>Matriz de avance por familia</x:v>
      </x:c>
      <x:c r="F1" s="33" t="str">
        <x:v>Matriz de avance por familia</x:v>
      </x:c>
      <x:c r="G1" s="33" t="str">
        <x:v>Matriz de avance por familia</x:v>
      </x:c>
      <x:c r="H1" s="33" t="str">
        <x:v>Matriz de avance por familia</x:v>
      </x:c>
      <x:c r="I1" s="33" t="str">
        <x:v>Matriz de avance por familia</x:v>
      </x:c>
      <x:c r="J1" s="33" t="str">
        <x:v>Matriz de avance por familia</x:v>
      </x:c>
    </x:row>
    <x:row r="2" ht="32" customHeight="1">
      <x:c r="A2" s="26" t="str">
        <x:v>Un paquete externo se completa cuando sus tres métricas son compatibles para una misma fuente. Cualquier contexto incompatible o diferencia fuera de tolerancia bloquea la familia.</x:v>
      </x:c>
      <x:c r="B2" s="26" t="str">
        <x:v>Un paquete externo se completa cuando sus tres métricas son compatibles para una misma fuente. Cualquier contexto incompatible o diferencia fuera de tolerancia bloquea la familia.</x:v>
      </x:c>
      <x:c r="C2" s="26" t="str">
        <x:v>Un paquete externo se completa cuando sus tres métricas son compatibles para una misma fuente. Cualquier contexto incompatible o diferencia fuera de tolerancia bloquea la familia.</x:v>
      </x:c>
      <x:c r="D2" s="26" t="str">
        <x:v>Un paquete externo se completa cuando sus tres métricas son compatibles para una misma fuente. Cualquier contexto incompatible o diferencia fuera de tolerancia bloquea la familia.</x:v>
      </x:c>
      <x:c r="E2" s="26" t="str">
        <x:v>Un paquete externo se completa cuando sus tres métricas son compatibles para una misma fuente. Cualquier contexto incompatible o diferencia fuera de tolerancia bloquea la familia.</x:v>
      </x:c>
      <x:c r="F2" s="26" t="str">
        <x:v>Un paquete externo se completa cuando sus tres métricas son compatibles para una misma fuente. Cualquier contexto incompatible o diferencia fuera de tolerancia bloquea la familia.</x:v>
      </x:c>
      <x:c r="G2" s="26" t="str">
        <x:v>Un paquete externo se completa cuando sus tres métricas son compatibles para una misma fuente. Cualquier contexto incompatible o diferencia fuera de tolerancia bloquea la familia.</x:v>
      </x:c>
      <x:c r="H2" s="26" t="str">
        <x:v>Un paquete externo se completa cuando sus tres métricas son compatibles para una misma fuente. Cualquier contexto incompatible o diferencia fuera de tolerancia bloquea la familia.</x:v>
      </x:c>
      <x:c r="I2" s="26" t="str">
        <x:v>Un paquete externo se completa cuando sus tres métricas son compatibles para una misma fuente. Cualquier contexto incompatible o diferencia fuera de tolerancia bloquea la familia.</x:v>
      </x:c>
      <x:c r="J2" s="26" t="str">
        <x:v>Un paquete externo se completa cuando sus tres métricas son compatibles para una misma fuente. Cualquier contexto incompatible o diferencia fuera de tolerancia bloquea la familia.</x:v>
      </x:c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</x:row>
    <x:row r="4">
      <x:c r="A4" s="27"/>
      <x:c r="B4" s="27"/>
      <x:c r="C4" s="27"/>
      <x:c r="D4" s="27"/>
      <x:c r="E4" s="27"/>
      <x:c r="F4" s="27"/>
      <x:c r="G4" s="27"/>
      <x:c r="H4" s="27"/>
      <x:c r="I4" s="27"/>
      <x:c r="J4" s="27"/>
    </x:row>
    <x:row r="5" ht="30" customHeight="1">
      <x:c r="A5" s="29" t="str">
        <x:v>Tipo</x:v>
      </x:c>
      <x:c r="B5" s="54" t="str">
        <x:v>Familia</x:v>
      </x:c>
      <x:c r="C5" s="54" t="str">
        <x:v>Caso</x:v>
      </x:c>
      <x:c r="D5" s="54" t="str">
        <x:v>Métricas</x:v>
      </x:c>
      <x:c r="E5" s="54" t="str">
        <x:v>Paquetes requeridos</x:v>
      </x:c>
      <x:c r="F5" s="54" t="str">
        <x:v>Paquetes completos</x:v>
      </x:c>
      <x:c r="G5" s="54" t="str">
        <x:v>Observaciones bloqueadas</x:v>
      </x:c>
      <x:c r="H5" s="54" t="str">
        <x:v>Observaciones pendientes</x:v>
      </x:c>
      <x:c r="I5" s="54" t="str">
        <x:v>Avance</x:v>
      </x:c>
      <x:c r="J5" s="30" t="str">
        <x:v>Estado</x:v>
      </x:c>
    </x:row>
    <x:row r="6">
      <x:c r="A6" s="55" t="str">
        <x:v>isolated</x:v>
      </x:c>
      <x:c r="B6" s="56" t="str">
        <x:v>Zapata aislada</x:v>
      </x:c>
      <x:c r="C6" s="56" t="str">
        <x:v>AXC-BMK-ISO-001</x:v>
      </x:c>
      <x:c r="D6" s="57" t="n">
        <x:v>3</x:v>
      </x:c>
      <x:c r="E6" s="57" t="n">
        <x:v>3</x:v>
      </x:c>
      <x:c r="F6" s="57" t="n">
        <x:f>IF(COUNTIFS('Evidencias'!$B$5:$B$76,A6,'Evidencias'!$F$5:$F$76,"Referencia pública",'Evidencias'!$T$5:$T$76,"COMPATIBLE")=D6,1,0)+IF(COUNTIFS('Evidencias'!$B$5:$B$76,A6,'Evidencias'!$F$5:$F$76,"Software 1",'Evidencias'!$T$5:$T$76,"COMPATIBLE")=D6,1,0)+IF(COUNTIFS('Evidencias'!$B$5:$B$76,A6,'Evidencias'!$F$5:$F$76,"Software 2",'Evidencias'!$T$5:$T$76,"COMPATIBLE")=D6,1,0)</x:f>
        <x:v>0</x:v>
      </x:c>
      <x:c r="G6" s="57" t="n">
        <x:f>COUNTIFS('Evidencias'!$B$5:$B$76,A6,'Evidencias'!$T$5:$T$76,"FUERA DE TOLERANCIA")+COUNTIFS('Evidencias'!$B$5:$B$76,A6,'Evidencias'!$T$5:$T$76,"CONTEXTO INCOMPATIBLE")</x:f>
        <x:v>0</x:v>
      </x:c>
      <x:c r="H6" s="57" t="n">
        <x:f>COUNTIFS('Evidencias'!$B$5:$B$76,A6,'Evidencias'!$T$5:$T$76,"PENDIENTE")</x:f>
        <x:v>9</x:v>
      </x:c>
      <x:c r="I6" s="58" t="n">
        <x:f>F6/E6</x:f>
        <x:v>0</x:v>
      </x:c>
      <x:c r="J6" s="59" t="str">
        <x:f>IF(G6&gt;0,"BLOQUEADO",IF(F6=E6,"LISTO PARA INTEGRAR","PENDIENTE"))</x:f>
        <x:v>PENDIENTE</x:v>
      </x:c>
    </x:row>
    <x:row r="7">
      <x:c r="A7" s="60" t="str">
        <x:v>strip</x:v>
      </x:c>
      <x:c r="B7" s="61" t="str">
        <x:v>Zapata corrida</x:v>
      </x:c>
      <x:c r="C7" s="61" t="str">
        <x:v>AXC-BMK-STRIP-001</x:v>
      </x:c>
      <x:c r="D7" s="62" t="n">
        <x:v>3</x:v>
      </x:c>
      <x:c r="E7" s="62" t="n">
        <x:v>3</x:v>
      </x:c>
      <x:c r="F7" s="62" t="n">
        <x:f>IF(COUNTIFS('Evidencias'!$B$5:$B$76,A7,'Evidencias'!$F$5:$F$76,"Referencia pública",'Evidencias'!$T$5:$T$76,"COMPATIBLE")=D7,1,0)+IF(COUNTIFS('Evidencias'!$B$5:$B$76,A7,'Evidencias'!$F$5:$F$76,"Software 1",'Evidencias'!$T$5:$T$76,"COMPATIBLE")=D7,1,0)+IF(COUNTIFS('Evidencias'!$B$5:$B$76,A7,'Evidencias'!$F$5:$F$76,"Software 2",'Evidencias'!$T$5:$T$76,"COMPATIBLE")=D7,1,0)</x:f>
        <x:v>0</x:v>
      </x:c>
      <x:c r="G7" s="62" t="n">
        <x:f>COUNTIFS('Evidencias'!$B$5:$B$76,A7,'Evidencias'!$T$5:$T$76,"FUERA DE TOLERANCIA")+COUNTIFS('Evidencias'!$B$5:$B$76,A7,'Evidencias'!$T$5:$T$76,"CONTEXTO INCOMPATIBLE")</x:f>
        <x:v>0</x:v>
      </x:c>
      <x:c r="H7" s="62" t="n">
        <x:f>COUNTIFS('Evidencias'!$B$5:$B$76,A7,'Evidencias'!$T$5:$T$76,"PENDIENTE")</x:f>
        <x:v>9</x:v>
      </x:c>
      <x:c r="I7" s="63" t="n">
        <x:f>F7/E7</x:f>
        <x:v>0</x:v>
      </x:c>
      <x:c r="J7" s="64" t="str">
        <x:f>IF(G7&gt;0,"BLOQUEADO",IF(F7=E7,"LISTO PARA INTEGRAR","PENDIENTE"))</x:f>
        <x:v>PENDIENTE</x:v>
      </x:c>
    </x:row>
    <x:row r="8">
      <x:c r="A8" s="60" t="str">
        <x:v>combined</x:v>
      </x:c>
      <x:c r="B8" s="61" t="str">
        <x:v>Combinada rectangular</x:v>
      </x:c>
      <x:c r="C8" s="61" t="str">
        <x:v>AXC-BMK-COMBINED-001</x:v>
      </x:c>
      <x:c r="D8" s="62" t="n">
        <x:v>3</x:v>
      </x:c>
      <x:c r="E8" s="62" t="n">
        <x:v>3</x:v>
      </x:c>
      <x:c r="F8" s="62" t="n">
        <x:f>IF(COUNTIFS('Evidencias'!$B$5:$B$76,A8,'Evidencias'!$F$5:$F$76,"Referencia pública",'Evidencias'!$T$5:$T$76,"COMPATIBLE")=D8,1,0)+IF(COUNTIFS('Evidencias'!$B$5:$B$76,A8,'Evidencias'!$F$5:$F$76,"Software 1",'Evidencias'!$T$5:$T$76,"COMPATIBLE")=D8,1,0)+IF(COUNTIFS('Evidencias'!$B$5:$B$76,A8,'Evidencias'!$F$5:$F$76,"Software 2",'Evidencias'!$T$5:$T$76,"COMPATIBLE")=D8,1,0)</x:f>
        <x:v>0</x:v>
      </x:c>
      <x:c r="G8" s="62" t="n">
        <x:f>COUNTIFS('Evidencias'!$B$5:$B$76,A8,'Evidencias'!$T$5:$T$76,"FUERA DE TOLERANCIA")+COUNTIFS('Evidencias'!$B$5:$B$76,A8,'Evidencias'!$T$5:$T$76,"CONTEXTO INCOMPATIBLE")</x:f>
        <x:v>0</x:v>
      </x:c>
      <x:c r="H8" s="62" t="n">
        <x:f>COUNTIFS('Evidencias'!$B$5:$B$76,A8,'Evidencias'!$T$5:$T$76,"PENDIENTE")</x:f>
        <x:v>9</x:v>
      </x:c>
      <x:c r="I8" s="63" t="n">
        <x:f>F8/E8</x:f>
        <x:v>0</x:v>
      </x:c>
      <x:c r="J8" s="64" t="str">
        <x:f>IF(G8&gt;0,"BLOQUEADO",IF(F8=E8,"LISTO PARA INTEGRAR","PENDIENTE"))</x:f>
        <x:v>PENDIENTE</x:v>
      </x:c>
    </x:row>
    <x:row r="9">
      <x:c r="A9" s="60" t="str">
        <x:v>strap</x:v>
      </x:c>
      <x:c r="B9" s="61" t="str">
        <x:v>Medianera con viga</x:v>
      </x:c>
      <x:c r="C9" s="61" t="str">
        <x:v>AXC-BMK-STRAP-001</x:v>
      </x:c>
      <x:c r="D9" s="62" t="n">
        <x:v>3</x:v>
      </x:c>
      <x:c r="E9" s="62" t="n">
        <x:v>3</x:v>
      </x:c>
      <x:c r="F9" s="62" t="n">
        <x:f>IF(COUNTIFS('Evidencias'!$B$5:$B$76,A9,'Evidencias'!$F$5:$F$76,"Referencia pública",'Evidencias'!$T$5:$T$76,"COMPATIBLE")=D9,1,0)+IF(COUNTIFS('Evidencias'!$B$5:$B$76,A9,'Evidencias'!$F$5:$F$76,"Software 1",'Evidencias'!$T$5:$T$76,"COMPATIBLE")=D9,1,0)+IF(COUNTIFS('Evidencias'!$B$5:$B$76,A9,'Evidencias'!$F$5:$F$76,"Software 2",'Evidencias'!$T$5:$T$76,"COMPATIBLE")=D9,1,0)</x:f>
        <x:v>0</x:v>
      </x:c>
      <x:c r="G9" s="62" t="n">
        <x:f>COUNTIFS('Evidencias'!$B$5:$B$76,A9,'Evidencias'!$T$5:$T$76,"FUERA DE TOLERANCIA")+COUNTIFS('Evidencias'!$B$5:$B$76,A9,'Evidencias'!$T$5:$T$76,"CONTEXTO INCOMPATIBLE")</x:f>
        <x:v>0</x:v>
      </x:c>
      <x:c r="H9" s="62" t="n">
        <x:f>COUNTIFS('Evidencias'!$B$5:$B$76,A9,'Evidencias'!$T$5:$T$76,"PENDIENTE")</x:f>
        <x:v>9</x:v>
      </x:c>
      <x:c r="I9" s="63" t="n">
        <x:f>F9/E9</x:f>
        <x:v>0</x:v>
      </x:c>
      <x:c r="J9" s="64" t="str">
        <x:f>IF(G9&gt;0,"BLOQUEADO",IF(F9=E9,"LISTO PARA INTEGRAR","PENDIENTE"))</x:f>
        <x:v>PENDIENTE</x:v>
      </x:c>
    </x:row>
    <x:row r="10">
      <x:c r="A10" s="60" t="str">
        <x:v>trapezoidal</x:v>
      </x:c>
      <x:c r="B10" s="61" t="str">
        <x:v>Combinada trapezoidal</x:v>
      </x:c>
      <x:c r="C10" s="61" t="str">
        <x:v>AXC-BMK-TRAPEZOIDAL-001</x:v>
      </x:c>
      <x:c r="D10" s="62" t="n">
        <x:v>3</x:v>
      </x:c>
      <x:c r="E10" s="62" t="n">
        <x:v>3</x:v>
      </x:c>
      <x:c r="F10" s="62" t="n">
        <x:f>IF(COUNTIFS('Evidencias'!$B$5:$B$76,A10,'Evidencias'!$F$5:$F$76,"Referencia pública",'Evidencias'!$T$5:$T$76,"COMPATIBLE")=D10,1,0)+IF(COUNTIFS('Evidencias'!$B$5:$B$76,A10,'Evidencias'!$F$5:$F$76,"Software 1",'Evidencias'!$T$5:$T$76,"COMPATIBLE")=D10,1,0)+IF(COUNTIFS('Evidencias'!$B$5:$B$76,A10,'Evidencias'!$F$5:$F$76,"Software 2",'Evidencias'!$T$5:$T$76,"COMPATIBLE")=D10,1,0)</x:f>
        <x:v>0</x:v>
      </x:c>
      <x:c r="G10" s="62" t="n">
        <x:f>COUNTIFS('Evidencias'!$B$5:$B$76,A10,'Evidencias'!$T$5:$T$76,"FUERA DE TOLERANCIA")+COUNTIFS('Evidencias'!$B$5:$B$76,A10,'Evidencias'!$T$5:$T$76,"CONTEXTO INCOMPATIBLE")</x:f>
        <x:v>0</x:v>
      </x:c>
      <x:c r="H10" s="62" t="n">
        <x:f>COUNTIFS('Evidencias'!$B$5:$B$76,A10,'Evidencias'!$T$5:$T$76,"PENDIENTE")</x:f>
        <x:v>9</x:v>
      </x:c>
      <x:c r="I10" s="63" t="n">
        <x:f>F10/E10</x:f>
        <x:v>0</x:v>
      </x:c>
      <x:c r="J10" s="64" t="str">
        <x:f>IF(G10&gt;0,"BLOQUEADO",IF(F10=E10,"LISTO PARA INTEGRAR","PENDIENTE"))</x:f>
        <x:v>PENDIENTE</x:v>
      </x:c>
    </x:row>
    <x:row r="11">
      <x:c r="A11" s="60" t="str">
        <x:v>edge</x:v>
      </x:c>
      <x:c r="B11" s="61" t="str">
        <x:v>Excéntrica de borde</x:v>
      </x:c>
      <x:c r="C11" s="61" t="str">
        <x:v>AXC-BMK-EDGE-001</x:v>
      </x:c>
      <x:c r="D11" s="62" t="n">
        <x:v>3</x:v>
      </x:c>
      <x:c r="E11" s="62" t="n">
        <x:v>3</x:v>
      </x:c>
      <x:c r="F11" s="62" t="n">
        <x:f>IF(COUNTIFS('Evidencias'!$B$5:$B$76,A11,'Evidencias'!$F$5:$F$76,"Referencia pública",'Evidencias'!$T$5:$T$76,"COMPATIBLE")=D11,1,0)+IF(COUNTIFS('Evidencias'!$B$5:$B$76,A11,'Evidencias'!$F$5:$F$76,"Software 1",'Evidencias'!$T$5:$T$76,"COMPATIBLE")=D11,1,0)+IF(COUNTIFS('Evidencias'!$B$5:$B$76,A11,'Evidencias'!$F$5:$F$76,"Software 2",'Evidencias'!$T$5:$T$76,"COMPATIBLE")=D11,1,0)</x:f>
        <x:v>0</x:v>
      </x:c>
      <x:c r="G11" s="62" t="n">
        <x:f>COUNTIFS('Evidencias'!$B$5:$B$76,A11,'Evidencias'!$T$5:$T$76,"FUERA DE TOLERANCIA")+COUNTIFS('Evidencias'!$B$5:$B$76,A11,'Evidencias'!$T$5:$T$76,"CONTEXTO INCOMPATIBLE")</x:f>
        <x:v>0</x:v>
      </x:c>
      <x:c r="H11" s="62" t="n">
        <x:f>COUNTIFS('Evidencias'!$B$5:$B$76,A11,'Evidencias'!$T$5:$T$76,"PENDIENTE")</x:f>
        <x:v>9</x:v>
      </x:c>
      <x:c r="I11" s="63" t="n">
        <x:f>F11/E11</x:f>
        <x:v>0</x:v>
      </x:c>
      <x:c r="J11" s="64" t="str">
        <x:f>IF(G11&gt;0,"BLOQUEADO",IF(F11=E11,"LISTO PARA INTEGRAR","PENDIENTE"))</x:f>
        <x:v>PENDIENTE</x:v>
      </x:c>
    </x:row>
    <x:row r="12">
      <x:c r="A12" s="60" t="str">
        <x:v>corner</x:v>
      </x:c>
      <x:c r="B12" s="61" t="str">
        <x:v>Esquina biaxial</x:v>
      </x:c>
      <x:c r="C12" s="61" t="str">
        <x:v>AXC-BMK-CORNER-001</x:v>
      </x:c>
      <x:c r="D12" s="62" t="n">
        <x:v>3</x:v>
      </x:c>
      <x:c r="E12" s="62" t="n">
        <x:v>3</x:v>
      </x:c>
      <x:c r="F12" s="62" t="n">
        <x:f>IF(COUNTIFS('Evidencias'!$B$5:$B$76,A12,'Evidencias'!$F$5:$F$76,"Referencia pública",'Evidencias'!$T$5:$T$76,"COMPATIBLE")=D12,1,0)+IF(COUNTIFS('Evidencias'!$B$5:$B$76,A12,'Evidencias'!$F$5:$F$76,"Software 1",'Evidencias'!$T$5:$T$76,"COMPATIBLE")=D12,1,0)+IF(COUNTIFS('Evidencias'!$B$5:$B$76,A12,'Evidencias'!$F$5:$F$76,"Software 2",'Evidencias'!$T$5:$T$76,"COMPATIBLE")=D12,1,0)</x:f>
        <x:v>0</x:v>
      </x:c>
      <x:c r="G12" s="62" t="n">
        <x:f>COUNTIFS('Evidencias'!$B$5:$B$76,A12,'Evidencias'!$T$5:$T$76,"FUERA DE TOLERANCIA")+COUNTIFS('Evidencias'!$B$5:$B$76,A12,'Evidencias'!$T$5:$T$76,"CONTEXTO INCOMPATIBLE")</x:f>
        <x:v>0</x:v>
      </x:c>
      <x:c r="H12" s="62" t="n">
        <x:f>COUNTIFS('Evidencias'!$B$5:$B$76,A12,'Evidencias'!$T$5:$T$76,"PENDIENTE")</x:f>
        <x:v>9</x:v>
      </x:c>
      <x:c r="I12" s="63" t="n">
        <x:f>F12/E12</x:f>
        <x:v>0</x:v>
      </x:c>
      <x:c r="J12" s="64" t="str">
        <x:f>IF(G12&gt;0,"BLOQUEADO",IF(F12=E12,"LISTO PARA INTEGRAR","PENDIENTE"))</x:f>
        <x:v>PENDIENTE</x:v>
      </x:c>
    </x:row>
    <x:row r="13">
      <x:c r="A13" s="65" t="str">
        <x:v>mat</x:v>
      </x:c>
      <x:c r="B13" s="66" t="str">
        <x:v>Losa de cimentación</x:v>
      </x:c>
      <x:c r="C13" s="66" t="str">
        <x:v>AXC-BMK-MAT-001</x:v>
      </x:c>
      <x:c r="D13" s="67" t="n">
        <x:v>3</x:v>
      </x:c>
      <x:c r="E13" s="67" t="n">
        <x:v>3</x:v>
      </x:c>
      <x:c r="F13" s="67" t="n">
        <x:f>IF(COUNTIFS('Evidencias'!$B$5:$B$76,A13,'Evidencias'!$F$5:$F$76,"Referencia pública",'Evidencias'!$T$5:$T$76,"COMPATIBLE")=D13,1,0)+IF(COUNTIFS('Evidencias'!$B$5:$B$76,A13,'Evidencias'!$F$5:$F$76,"Software 1",'Evidencias'!$T$5:$T$76,"COMPATIBLE")=D13,1,0)+IF(COUNTIFS('Evidencias'!$B$5:$B$76,A13,'Evidencias'!$F$5:$F$76,"Software 2",'Evidencias'!$T$5:$T$76,"COMPATIBLE")=D13,1,0)</x:f>
        <x:v>0</x:v>
      </x:c>
      <x:c r="G13" s="67" t="n">
        <x:f>COUNTIFS('Evidencias'!$B$5:$B$76,A13,'Evidencias'!$T$5:$T$76,"FUERA DE TOLERANCIA")+COUNTIFS('Evidencias'!$B$5:$B$76,A13,'Evidencias'!$T$5:$T$76,"CONTEXTO INCOMPATIBLE")</x:f>
        <x:v>0</x:v>
      </x:c>
      <x:c r="H13" s="67" t="n">
        <x:f>COUNTIFS('Evidencias'!$B$5:$B$76,A13,'Evidencias'!$T$5:$T$76,"PENDIENTE")</x:f>
        <x:v>9</x:v>
      </x:c>
      <x:c r="I13" s="68" t="n">
        <x:f>F13/E13</x:f>
        <x:v>0</x:v>
      </x:c>
      <x:c r="J13" s="69" t="str">
        <x:f>IF(G13&gt;0,"BLOQUEADO",IF(F13=E13,"LISTO PARA INTEGRAR","PENDIENTE"))</x:f>
        <x:v>PENDIENTE</x:v>
      </x:c>
    </x:row>
  </x:sheetData>
  <x:mergeCells>
    <x:mergeCell ref="A1:J1"/>
    <x:mergeCell ref="A2:J2"/>
  </x:mergeCells>
  <x:conditionalFormatting sqref="J6:J13">
    <x:cfRule type="containsText" dxfId="0" priority="1" operator="containsText" text="PENDIENTE"/>
    <x:cfRule type="containsText" dxfId="1" priority="2" operator="containsText" text="BLOQUEADO"/>
    <x:cfRule type="containsText" dxfId="2" priority="3" operator="containsText" text="LISTO"/>
  </x:conditionalFormatting>
  <x:pageMargins left="0.7" right="0.7" top="0.75" bottom="0.75" header="0.3" footer="0.3"/>
  <x:tableParts count="1">
    <x:tablePart xmlns:r="http://schemas.openxmlformats.org/officeDocument/2006/relationships" r:id="R0975c092d4cc4da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7" hidden="0" customWidth="1"/>
    <x:col min="3" max="3" width="27" hidden="0" customWidth="1"/>
    <x:col min="4" max="4" width="43" hidden="0" customWidth="1"/>
    <x:col min="5" max="5" width="16" hidden="0" customWidth="1"/>
    <x:col min="6" max="6" width="13" hidden="0" customWidth="1"/>
  </x:cols>
  <x:sheetData>
    <x:row r="1" ht="34" customHeight="1">
      <x:c r="A1" s="33" t="str">
        <x:v>Entradas canónicas por caso</x:v>
      </x:c>
      <x:c r="B1" s="33" t="str">
        <x:v>Entradas canónicas por caso</x:v>
      </x:c>
      <x:c r="C1" s="33" t="str">
        <x:v>Entradas canónicas por caso</x:v>
      </x:c>
      <x:c r="D1" s="33" t="str">
        <x:v>Entradas canónicas por caso</x:v>
      </x:c>
      <x:c r="E1" s="33" t="str">
        <x:v>Entradas canónicas por caso</x:v>
      </x:c>
      <x:c r="F1" s="33" t="str">
        <x:v>Entradas canónicas por caso</x:v>
      </x:c>
    </x:row>
    <x:row r="2" ht="32" customHeight="1">
      <x:c r="A2" s="26" t="str">
        <x:v>Valores SI tomados directamente del ejemplo de referencia de cada familia. No modifiques esta hoja durante un contraste; cualquier cambio crea otro caso.</x:v>
      </x:c>
      <x:c r="B2" s="26" t="str">
        <x:v>Valores SI tomados directamente del ejemplo de referencia de cada familia. No modifiques esta hoja durante un contraste; cualquier cambio crea otro caso.</x:v>
      </x:c>
      <x:c r="C2" s="26" t="str">
        <x:v>Valores SI tomados directamente del ejemplo de referencia de cada familia. No modifiques esta hoja durante un contraste; cualquier cambio crea otro caso.</x:v>
      </x:c>
      <x:c r="D2" s="26" t="str">
        <x:v>Valores SI tomados directamente del ejemplo de referencia de cada familia. No modifiques esta hoja durante un contraste; cualquier cambio crea otro caso.</x:v>
      </x:c>
      <x:c r="E2" s="26" t="str">
        <x:v>Valores SI tomados directamente del ejemplo de referencia de cada familia. No modifiques esta hoja durante un contraste; cualquier cambio crea otro caso.</x:v>
      </x:c>
      <x:c r="F2" s="26" t="str">
        <x:v>Valores SI tomados directamente del ejemplo de referencia de cada familia. No modifiques esta hoja durante un contraste; cualquier cambio crea otro caso.</x:v>
      </x:c>
    </x:row>
    <x:row r="3">
      <x:c r="A3" s="27"/>
      <x:c r="B3" s="27"/>
      <x:c r="C3" s="27"/>
      <x:c r="D3" s="27"/>
      <x:c r="E3" s="27"/>
      <x:c r="F3" s="27"/>
    </x:row>
    <x:row r="4" ht="30" customHeight="1">
      <x:c r="A4" s="29" t="str">
        <x:v>Tipo</x:v>
      </x:c>
      <x:c r="B4" s="54" t="str">
        <x:v>Familia</x:v>
      </x:c>
      <x:c r="C4" s="54" t="str">
        <x:v>Caso</x:v>
      </x:c>
      <x:c r="D4" s="54" t="str">
        <x:v>Parámetro</x:v>
      </x:c>
      <x:c r="E4" s="54" t="str">
        <x:v>Valor</x:v>
      </x:c>
      <x:c r="F4" s="30" t="str">
        <x:v>Unidad</x:v>
      </x:c>
    </x:row>
    <x:row r="5">
      <x:c r="A5" s="77" t="str">
        <x:v>isolated</x:v>
      </x:c>
      <x:c r="B5" s="77" t="str">
        <x:v>Zapata aislada</x:v>
      </x:c>
      <x:c r="C5" s="77" t="str">
        <x:v>AXC-BMK-ISO-001</x:v>
      </x:c>
      <x:c r="D5" s="77" t="str">
        <x:v>axialLoadKn</x:v>
      </x:c>
      <x:c r="E5" s="78" t="n">
        <x:v>450</x:v>
      </x:c>
      <x:c r="F5" s="77" t="str">
        <x:v>kN</x:v>
      </x:c>
    </x:row>
    <x:row r="6">
      <x:c r="A6" s="79" t="str">
        <x:v>isolated</x:v>
      </x:c>
      <x:c r="B6" s="79" t="str">
        <x:v>Zapata aislada</x:v>
      </x:c>
      <x:c r="C6" s="79" t="str">
        <x:v>AXC-BMK-ISO-001</x:v>
      </x:c>
      <x:c r="D6" s="79" t="str">
        <x:v>factoredAxialLoadKn</x:v>
      </x:c>
      <x:c r="E6" s="80" t="n">
        <x:v>900</x:v>
      </x:c>
      <x:c r="F6" s="79" t="str">
        <x:v>kN</x:v>
      </x:c>
    </x:row>
    <x:row r="7">
      <x:c r="A7" s="79" t="str">
        <x:v>isolated</x:v>
      </x:c>
      <x:c r="B7" s="79" t="str">
        <x:v>Zapata aislada</x:v>
      </x:c>
      <x:c r="C7" s="79" t="str">
        <x:v>AXC-BMK-ISO-001</x:v>
      </x:c>
      <x:c r="D7" s="79" t="str">
        <x:v>allowableBearingKpa</x:v>
      </x:c>
      <x:c r="E7" s="80" t="n">
        <x:v>180</x:v>
      </x:c>
      <x:c r="F7" s="79" t="str">
        <x:v>kPa</x:v>
      </x:c>
    </x:row>
    <x:row r="8">
      <x:c r="A8" s="79" t="str">
        <x:v>isolated</x:v>
      </x:c>
      <x:c r="B8" s="79" t="str">
        <x:v>Zapata aislada</x:v>
      </x:c>
      <x:c r="C8" s="79" t="str">
        <x:v>AXC-BMK-ISO-001</x:v>
      </x:c>
      <x:c r="D8" s="79" t="str">
        <x:v>bearingCapacityBasis</x:v>
      </x:c>
      <x:c r="E8" s="80" t="str">
        <x:v>gross</x:v>
      </x:c>
      <x:c r="F8" s="79" t="str"/>
    </x:row>
    <x:row r="9">
      <x:c r="A9" s="79" t="str">
        <x:v>isolated</x:v>
      </x:c>
      <x:c r="B9" s="79" t="str">
        <x:v>Zapata aislada</x:v>
      </x:c>
      <x:c r="C9" s="79" t="str">
        <x:v>AXC-BMK-ISO-001</x:v>
      </x:c>
      <x:c r="D9" s="79" t="str">
        <x:v>removedOverburdenKpa</x:v>
      </x:c>
      <x:c r="E9" s="80" t="n">
        <x:v>0</x:v>
      </x:c>
      <x:c r="F9" s="79" t="str">
        <x:v>kPa</x:v>
      </x:c>
    </x:row>
    <x:row r="10">
      <x:c r="A10" s="79" t="str">
        <x:v>isolated</x:v>
      </x:c>
      <x:c r="B10" s="79" t="str">
        <x:v>Zapata aislada</x:v>
      </x:c>
      <x:c r="C10" s="79" t="str">
        <x:v>AXC-BMK-ISO-001</x:v>
      </x:c>
      <x:c r="D10" s="79" t="str">
        <x:v>concreteUnitWeightKnM3</x:v>
      </x:c>
      <x:c r="E10" s="80" t="n">
        <x:v>24</x:v>
      </x:c>
      <x:c r="F10" s="79" t="str">
        <x:v>kN/m³</x:v>
      </x:c>
    </x:row>
    <x:row r="11">
      <x:c r="A11" s="79" t="str">
        <x:v>isolated</x:v>
      </x:c>
      <x:c r="B11" s="79" t="str">
        <x:v>Zapata aislada</x:v>
      </x:c>
      <x:c r="C11" s="79" t="str">
        <x:v>AXC-BMK-ISO-001</x:v>
      </x:c>
      <x:c r="D11" s="79" t="str">
        <x:v>soilCoverDepthM</x:v>
      </x:c>
      <x:c r="E11" s="80" t="n">
        <x:v>0</x:v>
      </x:c>
      <x:c r="F11" s="79" t="str">
        <x:v>m</x:v>
      </x:c>
    </x:row>
    <x:row r="12">
      <x:c r="A12" s="79" t="str">
        <x:v>isolated</x:v>
      </x:c>
      <x:c r="B12" s="79" t="str">
        <x:v>Zapata aislada</x:v>
      </x:c>
      <x:c r="C12" s="79" t="str">
        <x:v>AXC-BMK-ISO-001</x:v>
      </x:c>
      <x:c r="D12" s="79" t="str">
        <x:v>soilUnitWeightKnM3</x:v>
      </x:c>
      <x:c r="E12" s="80" t="n">
        <x:v>0</x:v>
      </x:c>
      <x:c r="F12" s="79" t="str">
        <x:v>kN/m³</x:v>
      </x:c>
    </x:row>
    <x:row r="13">
      <x:c r="A13" s="79" t="str">
        <x:v>isolated</x:v>
      </x:c>
      <x:c r="B13" s="79" t="str">
        <x:v>Zapata aislada</x:v>
      </x:c>
      <x:c r="C13" s="79" t="str">
        <x:v>AXC-BMK-ISO-001</x:v>
      </x:c>
      <x:c r="D13" s="79" t="str">
        <x:v>columnWidthM</x:v>
      </x:c>
      <x:c r="E13" s="80" t="n">
        <x:v>0.4</x:v>
      </x:c>
      <x:c r="F13" s="79" t="str">
        <x:v>m</x:v>
      </x:c>
    </x:row>
    <x:row r="14">
      <x:c r="A14" s="79" t="str">
        <x:v>isolated</x:v>
      </x:c>
      <x:c r="B14" s="79" t="str">
        <x:v>Zapata aislada</x:v>
      </x:c>
      <x:c r="C14" s="79" t="str">
        <x:v>AXC-BMK-ISO-001</x:v>
      </x:c>
      <x:c r="D14" s="79" t="str">
        <x:v>columnLengthM</x:v>
      </x:c>
      <x:c r="E14" s="80" t="n">
        <x:v>0.6</x:v>
      </x:c>
      <x:c r="F14" s="79" t="str">
        <x:v>m</x:v>
      </x:c>
    </x:row>
    <x:row r="15">
      <x:c r="A15" s="79" t="str">
        <x:v>isolated</x:v>
      </x:c>
      <x:c r="B15" s="79" t="str">
        <x:v>Zapata aislada</x:v>
      </x:c>
      <x:c r="C15" s="79" t="str">
        <x:v>AXC-BMK-ISO-001</x:v>
      </x:c>
      <x:c r="D15" s="79" t="str">
        <x:v>footingWidthM</x:v>
      </x:c>
      <x:c r="E15" s="80" t="n">
        <x:v>2</x:v>
      </x:c>
      <x:c r="F15" s="79" t="str">
        <x:v>m</x:v>
      </x:c>
    </x:row>
    <x:row r="16">
      <x:c r="A16" s="79" t="str">
        <x:v>isolated</x:v>
      </x:c>
      <x:c r="B16" s="79" t="str">
        <x:v>Zapata aislada</x:v>
      </x:c>
      <x:c r="C16" s="79" t="str">
        <x:v>AXC-BMK-ISO-001</x:v>
      </x:c>
      <x:c r="D16" s="79" t="str">
        <x:v>footingLengthM</x:v>
      </x:c>
      <x:c r="E16" s="80" t="n">
        <x:v>3</x:v>
      </x:c>
      <x:c r="F16" s="79" t="str">
        <x:v>m</x:v>
      </x:c>
    </x:row>
    <x:row r="17">
      <x:c r="A17" s="79" t="str">
        <x:v>isolated</x:v>
      </x:c>
      <x:c r="B17" s="79" t="str">
        <x:v>Zapata aislada</x:v>
      </x:c>
      <x:c r="C17" s="79" t="str">
        <x:v>AXC-BMK-ISO-001</x:v>
      </x:c>
      <x:c r="D17" s="79" t="str">
        <x:v>footingThicknessM</x:v>
      </x:c>
      <x:c r="E17" s="80" t="n">
        <x:v>0.5</x:v>
      </x:c>
      <x:c r="F17" s="79" t="str">
        <x:v>m</x:v>
      </x:c>
    </x:row>
    <x:row r="18">
      <x:c r="A18" s="79" t="str">
        <x:v>isolated</x:v>
      </x:c>
      <x:c r="B18" s="79" t="str">
        <x:v>Zapata aislada</x:v>
      </x:c>
      <x:c r="C18" s="79" t="str">
        <x:v>AXC-BMK-ISO-001</x:v>
      </x:c>
      <x:c r="D18" s="79" t="str">
        <x:v>concreteCoverM</x:v>
      </x:c>
      <x:c r="E18" s="80" t="n">
        <x:v>0.075</x:v>
      </x:c>
      <x:c r="F18" s="79" t="str">
        <x:v>m</x:v>
      </x:c>
    </x:row>
    <x:row r="19">
      <x:c r="A19" s="79" t="str">
        <x:v>isolated</x:v>
      </x:c>
      <x:c r="B19" s="79" t="str">
        <x:v>Zapata aislada</x:v>
      </x:c>
      <x:c r="C19" s="79" t="str">
        <x:v>AXC-BMK-ISO-001</x:v>
      </x:c>
      <x:c r="D19" s="79" t="str">
        <x:v>barDiameterM</x:v>
      </x:c>
      <x:c r="E19" s="80" t="n">
        <x:v>0.016</x:v>
      </x:c>
      <x:c r="F19" s="79" t="str">
        <x:v>m</x:v>
      </x:c>
    </x:row>
    <x:row r="20">
      <x:c r="A20" s="79" t="str">
        <x:v>isolated</x:v>
      </x:c>
      <x:c r="B20" s="79" t="str">
        <x:v>Zapata aislada</x:v>
      </x:c>
      <x:c r="C20" s="79" t="str">
        <x:v>AXC-BMK-ISO-001</x:v>
      </x:c>
      <x:c r="D20" s="79" t="str">
        <x:v>concreteStrengthMpa</x:v>
      </x:c>
      <x:c r="E20" s="80" t="n">
        <x:v>23.54</x:v>
      </x:c>
      <x:c r="F20" s="79" t="str">
        <x:v>MPa</x:v>
      </x:c>
    </x:row>
    <x:row r="21">
      <x:c r="A21" s="79" t="str">
        <x:v>isolated</x:v>
      </x:c>
      <x:c r="B21" s="79" t="str">
        <x:v>Zapata aislada</x:v>
      </x:c>
      <x:c r="C21" s="79" t="str">
        <x:v>AXC-BMK-ISO-001</x:v>
      </x:c>
      <x:c r="D21" s="79" t="str">
        <x:v>steelYieldStrengthMpa</x:v>
      </x:c>
      <x:c r="E21" s="80" t="n">
        <x:v>412.08</x:v>
      </x:c>
      <x:c r="F21" s="79" t="str">
        <x:v>MPa</x:v>
      </x:c>
    </x:row>
    <x:row r="22">
      <x:c r="A22" s="79" t="str">
        <x:v>isolated</x:v>
      </x:c>
      <x:c r="B22" s="79" t="str">
        <x:v>Zapata aislada</x:v>
      </x:c>
      <x:c r="C22" s="79" t="str">
        <x:v>AXC-BMK-ISO-001</x:v>
      </x:c>
      <x:c r="D22" s="79" t="str">
        <x:v>developmentAvailableLengthWidthM</x:v>
      </x:c>
      <x:c r="E22" s="80" t="n">
        <x:v>1.3</x:v>
      </x:c>
      <x:c r="F22" s="79" t="str">
        <x:v>m</x:v>
      </x:c>
    </x:row>
    <x:row r="23">
      <x:c r="A23" s="79" t="str">
        <x:v>isolated</x:v>
      </x:c>
      <x:c r="B23" s="79" t="str">
        <x:v>Zapata aislada</x:v>
      </x:c>
      <x:c r="C23" s="79" t="str">
        <x:v>AXC-BMK-ISO-001</x:v>
      </x:c>
      <x:c r="D23" s="79" t="str">
        <x:v>developmentAvailableLengthLengthM</x:v>
      </x:c>
      <x:c r="E23" s="80" t="n">
        <x:v>1.3</x:v>
      </x:c>
      <x:c r="F23" s="79" t="str">
        <x:v>m</x:v>
      </x:c>
    </x:row>
    <x:row r="24">
      <x:c r="A24" s="79" t="str">
        <x:v>isolated</x:v>
      </x:c>
      <x:c r="B24" s="79" t="str">
        <x:v>Zapata aislada</x:v>
      </x:c>
      <x:c r="C24" s="79" t="str">
        <x:v>AXC-BMK-ISO-001</x:v>
      </x:c>
      <x:c r="D24" s="79" t="str">
        <x:v>punchingCriticalSectionOffsetM</x:v>
      </x:c>
      <x:c r="E24" s="80" t="n">
        <x:v>0.21</x:v>
      </x:c>
      <x:c r="F24" s="79" t="str">
        <x:v>m</x:v>
      </x:c>
    </x:row>
    <x:row r="25">
      <x:c r="A25" s="79" t="str">
        <x:v>isolated</x:v>
      </x:c>
      <x:c r="B25" s="79" t="str">
        <x:v>Zapata aislada</x:v>
      </x:c>
      <x:c r="C25" s="79" t="str">
        <x:v>AXC-BMK-ISO-001</x:v>
      </x:c>
      <x:c r="D25" s="79" t="str">
        <x:v>barsParallelToWidthMaxSpacingM</x:v>
      </x:c>
      <x:c r="E25" s="80" t="n">
        <x:v>0.15</x:v>
      </x:c>
      <x:c r="F25" s="79" t="str">
        <x:v>m</x:v>
      </x:c>
    </x:row>
    <x:row r="26">
      <x:c r="A26" s="79" t="str">
        <x:v>isolated</x:v>
      </x:c>
      <x:c r="B26" s="79" t="str">
        <x:v>Zapata aislada</x:v>
      </x:c>
      <x:c r="C26" s="79" t="str">
        <x:v>AXC-BMK-ISO-001</x:v>
      </x:c>
      <x:c r="D26" s="79" t="str">
        <x:v>barsParallelToLengthMaxSpacingM</x:v>
      </x:c>
      <x:c r="E26" s="80" t="n">
        <x:v>0.15</x:v>
      </x:c>
      <x:c r="F26" s="79" t="str">
        <x:v>m</x:v>
      </x:c>
    </x:row>
    <x:row r="27">
      <x:c r="A27" s="79" t="str">
        <x:v>strip</x:v>
      </x:c>
      <x:c r="B27" s="79" t="str">
        <x:v>Zapata corrida</x:v>
      </x:c>
      <x:c r="C27" s="79" t="str">
        <x:v>AXC-BMK-STRIP-001</x:v>
      </x:c>
      <x:c r="D27" s="79" t="str">
        <x:v>serviceLineLoadKnM</x:v>
      </x:c>
      <x:c r="E27" s="80" t="n">
        <x:v>180</x:v>
      </x:c>
      <x:c r="F27" s="79" t="str">
        <x:v>kN/m</x:v>
      </x:c>
    </x:row>
    <x:row r="28">
      <x:c r="A28" s="79" t="str">
        <x:v>strip</x:v>
      </x:c>
      <x:c r="B28" s="79" t="str">
        <x:v>Zapata corrida</x:v>
      </x:c>
      <x:c r="C28" s="79" t="str">
        <x:v>AXC-BMK-STRIP-001</x:v>
      </x:c>
      <x:c r="D28" s="79" t="str">
        <x:v>factoredLineLoadKnM</x:v>
      </x:c>
      <x:c r="E28" s="80" t="n">
        <x:v>270</x:v>
      </x:c>
      <x:c r="F28" s="79" t="str">
        <x:v>kN/m</x:v>
      </x:c>
    </x:row>
    <x:row r="29">
      <x:c r="A29" s="79" t="str">
        <x:v>strip</x:v>
      </x:c>
      <x:c r="B29" s="79" t="str">
        <x:v>Zapata corrida</x:v>
      </x:c>
      <x:c r="C29" s="79" t="str">
        <x:v>AXC-BMK-STRIP-001</x:v>
      </x:c>
      <x:c r="D29" s="79" t="str">
        <x:v>allowableBearingKpa</x:v>
      </x:c>
      <x:c r="E29" s="80" t="n">
        <x:v>180</x:v>
      </x:c>
      <x:c r="F29" s="79" t="str">
        <x:v>kPa</x:v>
      </x:c>
    </x:row>
    <x:row r="30">
      <x:c r="A30" s="79" t="str">
        <x:v>strip</x:v>
      </x:c>
      <x:c r="B30" s="79" t="str">
        <x:v>Zapata corrida</x:v>
      </x:c>
      <x:c r="C30" s="79" t="str">
        <x:v>AXC-BMK-STRIP-001</x:v>
      </x:c>
      <x:c r="D30" s="79" t="str">
        <x:v>bearingCapacityBasis</x:v>
      </x:c>
      <x:c r="E30" s="80" t="str">
        <x:v>gross</x:v>
      </x:c>
      <x:c r="F30" s="79" t="str"/>
    </x:row>
    <x:row r="31">
      <x:c r="A31" s="79" t="str">
        <x:v>strip</x:v>
      </x:c>
      <x:c r="B31" s="79" t="str">
        <x:v>Zapata corrida</x:v>
      </x:c>
      <x:c r="C31" s="79" t="str">
        <x:v>AXC-BMK-STRIP-001</x:v>
      </x:c>
      <x:c r="D31" s="79" t="str">
        <x:v>removedOverburdenKpa</x:v>
      </x:c>
      <x:c r="E31" s="80" t="n">
        <x:v>0</x:v>
      </x:c>
      <x:c r="F31" s="79" t="str">
        <x:v>kPa</x:v>
      </x:c>
    </x:row>
    <x:row r="32">
      <x:c r="A32" s="79" t="str">
        <x:v>strip</x:v>
      </x:c>
      <x:c r="B32" s="79" t="str">
        <x:v>Zapata corrida</x:v>
      </x:c>
      <x:c r="C32" s="79" t="str">
        <x:v>AXC-BMK-STRIP-001</x:v>
      </x:c>
      <x:c r="D32" s="79" t="str">
        <x:v>concreteUnitWeightKnM3</x:v>
      </x:c>
      <x:c r="E32" s="80" t="n">
        <x:v>24</x:v>
      </x:c>
      <x:c r="F32" s="79" t="str">
        <x:v>kN/m³</x:v>
      </x:c>
    </x:row>
    <x:row r="33">
      <x:c r="A33" s="79" t="str">
        <x:v>strip</x:v>
      </x:c>
      <x:c r="B33" s="79" t="str">
        <x:v>Zapata corrida</x:v>
      </x:c>
      <x:c r="C33" s="79" t="str">
        <x:v>AXC-BMK-STRIP-001</x:v>
      </x:c>
      <x:c r="D33" s="79" t="str">
        <x:v>soilCoverDepthM</x:v>
      </x:c>
      <x:c r="E33" s="80" t="n">
        <x:v>0</x:v>
      </x:c>
      <x:c r="F33" s="79" t="str">
        <x:v>m</x:v>
      </x:c>
    </x:row>
    <x:row r="34">
      <x:c r="A34" s="79" t="str">
        <x:v>strip</x:v>
      </x:c>
      <x:c r="B34" s="79" t="str">
        <x:v>Zapata corrida</x:v>
      </x:c>
      <x:c r="C34" s="79" t="str">
        <x:v>AXC-BMK-STRIP-001</x:v>
      </x:c>
      <x:c r="D34" s="79" t="str">
        <x:v>soilUnitWeightKnM3</x:v>
      </x:c>
      <x:c r="E34" s="80" t="n">
        <x:v>0</x:v>
      </x:c>
      <x:c r="F34" s="79" t="str">
        <x:v>kN/m³</x:v>
      </x:c>
    </x:row>
    <x:row r="35">
      <x:c r="A35" s="79" t="str">
        <x:v>strip</x:v>
      </x:c>
      <x:c r="B35" s="79" t="str">
        <x:v>Zapata corrida</x:v>
      </x:c>
      <x:c r="C35" s="79" t="str">
        <x:v>AXC-BMK-STRIP-001</x:v>
      </x:c>
      <x:c r="D35" s="79" t="str">
        <x:v>wallThicknessM</x:v>
      </x:c>
      <x:c r="E35" s="80" t="n">
        <x:v>0.2</x:v>
      </x:c>
      <x:c r="F35" s="79" t="str">
        <x:v>m</x:v>
      </x:c>
    </x:row>
    <x:row r="36">
      <x:c r="A36" s="79" t="str">
        <x:v>strip</x:v>
      </x:c>
      <x:c r="B36" s="79" t="str">
        <x:v>Zapata corrida</x:v>
      </x:c>
      <x:c r="C36" s="79" t="str">
        <x:v>AXC-BMK-STRIP-001</x:v>
      </x:c>
      <x:c r="D36" s="79" t="str">
        <x:v>footingWidthM</x:v>
      </x:c>
      <x:c r="E36" s="80" t="n">
        <x:v>1.2</x:v>
      </x:c>
      <x:c r="F36" s="79" t="str">
        <x:v>m</x:v>
      </x:c>
    </x:row>
    <x:row r="37">
      <x:c r="A37" s="79" t="str">
        <x:v>strip</x:v>
      </x:c>
      <x:c r="B37" s="79" t="str">
        <x:v>Zapata corrida</x:v>
      </x:c>
      <x:c r="C37" s="79" t="str">
        <x:v>AXC-BMK-STRIP-001</x:v>
      </x:c>
      <x:c r="D37" s="79" t="str">
        <x:v>footingThicknessM</x:v>
      </x:c>
      <x:c r="E37" s="80" t="n">
        <x:v>0.35</x:v>
      </x:c>
      <x:c r="F37" s="79" t="str">
        <x:v>m</x:v>
      </x:c>
    </x:row>
    <x:row r="38">
      <x:c r="A38" s="79" t="str">
        <x:v>strip</x:v>
      </x:c>
      <x:c r="B38" s="79" t="str">
        <x:v>Zapata corrida</x:v>
      </x:c>
      <x:c r="C38" s="79" t="str">
        <x:v>AXC-BMK-STRIP-001</x:v>
      </x:c>
      <x:c r="D38" s="79" t="str">
        <x:v>concreteCoverM</x:v>
      </x:c>
      <x:c r="E38" s="80" t="n">
        <x:v>0.075</x:v>
      </x:c>
      <x:c r="F38" s="79" t="str">
        <x:v>m</x:v>
      </x:c>
    </x:row>
    <x:row r="39">
      <x:c r="A39" s="79" t="str">
        <x:v>strip</x:v>
      </x:c>
      <x:c r="B39" s="79" t="str">
        <x:v>Zapata corrida</x:v>
      </x:c>
      <x:c r="C39" s="79" t="str">
        <x:v>AXC-BMK-STRIP-001</x:v>
      </x:c>
      <x:c r="D39" s="79" t="str">
        <x:v>barDiameterM</x:v>
      </x:c>
      <x:c r="E39" s="80" t="n">
        <x:v>0.012</x:v>
      </x:c>
      <x:c r="F39" s="79" t="str">
        <x:v>m</x:v>
      </x:c>
    </x:row>
    <x:row r="40">
      <x:c r="A40" s="79" t="str">
        <x:v>strip</x:v>
      </x:c>
      <x:c r="B40" s="79" t="str">
        <x:v>Zapata corrida</x:v>
      </x:c>
      <x:c r="C40" s="79" t="str">
        <x:v>AXC-BMK-STRIP-001</x:v>
      </x:c>
      <x:c r="D40" s="79" t="str">
        <x:v>concreteStrengthMpa</x:v>
      </x:c>
      <x:c r="E40" s="80" t="n">
        <x:v>23.54</x:v>
      </x:c>
      <x:c r="F40" s="79" t="str">
        <x:v>MPa</x:v>
      </x:c>
    </x:row>
    <x:row r="41">
      <x:c r="A41" s="79" t="str">
        <x:v>strip</x:v>
      </x:c>
      <x:c r="B41" s="79" t="str">
        <x:v>Zapata corrida</x:v>
      </x:c>
      <x:c r="C41" s="79" t="str">
        <x:v>AXC-BMK-STRIP-001</x:v>
      </x:c>
      <x:c r="D41" s="79" t="str">
        <x:v>steelYieldStrengthMpa</x:v>
      </x:c>
      <x:c r="E41" s="80" t="n">
        <x:v>412.08</x:v>
      </x:c>
      <x:c r="F41" s="79" t="str">
        <x:v>MPa</x:v>
      </x:c>
    </x:row>
    <x:row r="42">
      <x:c r="A42" s="79" t="str">
        <x:v>strip</x:v>
      </x:c>
      <x:c r="B42" s="79" t="str">
        <x:v>Zapata corrida</x:v>
      </x:c>
      <x:c r="C42" s="79" t="str">
        <x:v>AXC-BMK-STRIP-001</x:v>
      </x:c>
      <x:c r="D42" s="79" t="str">
        <x:v>transverseBarSpacingM</x:v>
      </x:c>
      <x:c r="E42" s="80" t="n">
        <x:v>0.15</x:v>
      </x:c>
      <x:c r="F42" s="79" t="str">
        <x:v>m</x:v>
      </x:c>
    </x:row>
    <x:row r="43">
      <x:c r="A43" s="79" t="str">
        <x:v>strip</x:v>
      </x:c>
      <x:c r="B43" s="79" t="str">
        <x:v>Zapata corrida</x:v>
      </x:c>
      <x:c r="C43" s="79" t="str">
        <x:v>AXC-BMK-STRIP-001</x:v>
      </x:c>
      <x:c r="D43" s="79" t="str">
        <x:v>longitudinalBarSpacingM</x:v>
      </x:c>
      <x:c r="E43" s="80" t="n">
        <x:v>0.15</x:v>
      </x:c>
      <x:c r="F43" s="79" t="str">
        <x:v>m</x:v>
      </x:c>
    </x:row>
    <x:row r="44">
      <x:c r="A44" s="79" t="str">
        <x:v>strip</x:v>
      </x:c>
      <x:c r="B44" s="79" t="str">
        <x:v>Zapata corrida</x:v>
      </x:c>
      <x:c r="C44" s="79" t="str">
        <x:v>AXC-BMK-STRIP-001</x:v>
      </x:c>
      <x:c r="D44" s="79" t="str">
        <x:v>developmentAvailableLengthM</x:v>
      </x:c>
      <x:c r="E44" s="80" t="n">
        <x:v>0.8</x:v>
      </x:c>
      <x:c r="F44" s="79" t="str">
        <x:v>m</x:v>
      </x:c>
    </x:row>
    <x:row r="45">
      <x:c r="A45" s="79" t="str">
        <x:v>combined</x:v>
      </x:c>
      <x:c r="B45" s="79" t="str">
        <x:v>Combinada rectangular</x:v>
      </x:c>
      <x:c r="C45" s="79" t="str">
        <x:v>AXC-BMK-COMBINED-001</x:v>
      </x:c>
      <x:c r="D45" s="79" t="str">
        <x:v>serviceColumn1LoadKn</x:v>
      </x:c>
      <x:c r="E45" s="80" t="n">
        <x:v>700</x:v>
      </x:c>
      <x:c r="F45" s="79" t="str">
        <x:v>kN</x:v>
      </x:c>
    </x:row>
    <x:row r="46">
      <x:c r="A46" s="79" t="str">
        <x:v>combined</x:v>
      </x:c>
      <x:c r="B46" s="79" t="str">
        <x:v>Combinada rectangular</x:v>
      </x:c>
      <x:c r="C46" s="79" t="str">
        <x:v>AXC-BMK-COMBINED-001</x:v>
      </x:c>
      <x:c r="D46" s="79" t="str">
        <x:v>serviceColumn2LoadKn</x:v>
      </x:c>
      <x:c r="E46" s="80" t="n">
        <x:v>900</x:v>
      </x:c>
      <x:c r="F46" s="79" t="str">
        <x:v>kN</x:v>
      </x:c>
    </x:row>
    <x:row r="47">
      <x:c r="A47" s="79" t="str">
        <x:v>combined</x:v>
      </x:c>
      <x:c r="B47" s="79" t="str">
        <x:v>Combinada rectangular</x:v>
      </x:c>
      <x:c r="C47" s="79" t="str">
        <x:v>AXC-BMK-COMBINED-001</x:v>
      </x:c>
      <x:c r="D47" s="79" t="str">
        <x:v>factoredColumn1LoadKn</x:v>
      </x:c>
      <x:c r="E47" s="80" t="n">
        <x:v>980</x:v>
      </x:c>
      <x:c r="F47" s="79" t="str">
        <x:v>kN</x:v>
      </x:c>
    </x:row>
    <x:row r="48">
      <x:c r="A48" s="79" t="str">
        <x:v>combined</x:v>
      </x:c>
      <x:c r="B48" s="79" t="str">
        <x:v>Combinada rectangular</x:v>
      </x:c>
      <x:c r="C48" s="79" t="str">
        <x:v>AXC-BMK-COMBINED-001</x:v>
      </x:c>
      <x:c r="D48" s="79" t="str">
        <x:v>factoredColumn2LoadKn</x:v>
      </x:c>
      <x:c r="E48" s="80" t="n">
        <x:v>1260</x:v>
      </x:c>
      <x:c r="F48" s="79" t="str">
        <x:v>kN</x:v>
      </x:c>
    </x:row>
    <x:row r="49">
      <x:c r="A49" s="79" t="str">
        <x:v>combined</x:v>
      </x:c>
      <x:c r="B49" s="79" t="str">
        <x:v>Combinada rectangular</x:v>
      </x:c>
      <x:c r="C49" s="79" t="str">
        <x:v>AXC-BMK-COMBINED-001</x:v>
      </x:c>
      <x:c r="D49" s="79" t="str">
        <x:v>allowableBearingKpa</x:v>
      </x:c>
      <x:c r="E49" s="80" t="n">
        <x:v>200</x:v>
      </x:c>
      <x:c r="F49" s="79" t="str">
        <x:v>kPa</x:v>
      </x:c>
    </x:row>
    <x:row r="50">
      <x:c r="A50" s="79" t="str">
        <x:v>combined</x:v>
      </x:c>
      <x:c r="B50" s="79" t="str">
        <x:v>Combinada rectangular</x:v>
      </x:c>
      <x:c r="C50" s="79" t="str">
        <x:v>AXC-BMK-COMBINED-001</x:v>
      </x:c>
      <x:c r="D50" s="79" t="str">
        <x:v>bearingCapacityBasis</x:v>
      </x:c>
      <x:c r="E50" s="80" t="str">
        <x:v>gross</x:v>
      </x:c>
      <x:c r="F50" s="79" t="str"/>
    </x:row>
    <x:row r="51">
      <x:c r="A51" s="79" t="str">
        <x:v>combined</x:v>
      </x:c>
      <x:c r="B51" s="79" t="str">
        <x:v>Combinada rectangular</x:v>
      </x:c>
      <x:c r="C51" s="79" t="str">
        <x:v>AXC-BMK-COMBINED-001</x:v>
      </x:c>
      <x:c r="D51" s="79" t="str">
        <x:v>removedOverburdenKpa</x:v>
      </x:c>
      <x:c r="E51" s="80" t="n">
        <x:v>0</x:v>
      </x:c>
      <x:c r="F51" s="79" t="str">
        <x:v>kPa</x:v>
      </x:c>
    </x:row>
    <x:row r="52">
      <x:c r="A52" s="79" t="str">
        <x:v>combined</x:v>
      </x:c>
      <x:c r="B52" s="79" t="str">
        <x:v>Combinada rectangular</x:v>
      </x:c>
      <x:c r="C52" s="79" t="str">
        <x:v>AXC-BMK-COMBINED-001</x:v>
      </x:c>
      <x:c r="D52" s="79" t="str">
        <x:v>concreteUnitWeightKnM3</x:v>
      </x:c>
      <x:c r="E52" s="80" t="n">
        <x:v>24</x:v>
      </x:c>
      <x:c r="F52" s="79" t="str">
        <x:v>kN/m³</x:v>
      </x:c>
    </x:row>
    <x:row r="53">
      <x:c r="A53" s="79" t="str">
        <x:v>combined</x:v>
      </x:c>
      <x:c r="B53" s="79" t="str">
        <x:v>Combinada rectangular</x:v>
      </x:c>
      <x:c r="C53" s="79" t="str">
        <x:v>AXC-BMK-COMBINED-001</x:v>
      </x:c>
      <x:c r="D53" s="79" t="str">
        <x:v>soilCoverDepthM</x:v>
      </x:c>
      <x:c r="E53" s="80" t="n">
        <x:v>0</x:v>
      </x:c>
      <x:c r="F53" s="79" t="str">
        <x:v>m</x:v>
      </x:c>
    </x:row>
    <x:row r="54">
      <x:c r="A54" s="79" t="str">
        <x:v>combined</x:v>
      </x:c>
      <x:c r="B54" s="79" t="str">
        <x:v>Combinada rectangular</x:v>
      </x:c>
      <x:c r="C54" s="79" t="str">
        <x:v>AXC-BMK-COMBINED-001</x:v>
      </x:c>
      <x:c r="D54" s="79" t="str">
        <x:v>soilUnitWeightKnM3</x:v>
      </x:c>
      <x:c r="E54" s="80" t="n">
        <x:v>0</x:v>
      </x:c>
      <x:c r="F54" s="79" t="str">
        <x:v>kN/m³</x:v>
      </x:c>
    </x:row>
    <x:row r="55">
      <x:c r="A55" s="79" t="str">
        <x:v>combined</x:v>
      </x:c>
      <x:c r="B55" s="79" t="str">
        <x:v>Combinada rectangular</x:v>
      </x:c>
      <x:c r="C55" s="79" t="str">
        <x:v>AXC-BMK-COMBINED-001</x:v>
      </x:c>
      <x:c r="D55" s="79" t="str">
        <x:v>footingWidthM</x:v>
      </x:c>
      <x:c r="E55" s="80" t="n">
        <x:v>2.2</x:v>
      </x:c>
      <x:c r="F55" s="79" t="str">
        <x:v>m</x:v>
      </x:c>
    </x:row>
    <x:row r="56">
      <x:c r="A56" s="79" t="str">
        <x:v>combined</x:v>
      </x:c>
      <x:c r="B56" s="79" t="str">
        <x:v>Combinada rectangular</x:v>
      </x:c>
      <x:c r="C56" s="79" t="str">
        <x:v>AXC-BMK-COMBINED-001</x:v>
      </x:c>
      <x:c r="D56" s="79" t="str">
        <x:v>footingLengthM</x:v>
      </x:c>
      <x:c r="E56" s="80" t="n">
        <x:v>5.4</x:v>
      </x:c>
      <x:c r="F56" s="79" t="str">
        <x:v>m</x:v>
      </x:c>
    </x:row>
    <x:row r="57">
      <x:c r="A57" s="79" t="str">
        <x:v>combined</x:v>
      </x:c>
      <x:c r="B57" s="79" t="str">
        <x:v>Combinada rectangular</x:v>
      </x:c>
      <x:c r="C57" s="79" t="str">
        <x:v>AXC-BMK-COMBINED-001</x:v>
      </x:c>
      <x:c r="D57" s="79" t="str">
        <x:v>footingThicknessM</x:v>
      </x:c>
      <x:c r="E57" s="80" t="n">
        <x:v>0.55</x:v>
      </x:c>
      <x:c r="F57" s="79" t="str">
        <x:v>m</x:v>
      </x:c>
    </x:row>
    <x:row r="58">
      <x:c r="A58" s="79" t="str">
        <x:v>combined</x:v>
      </x:c>
      <x:c r="B58" s="79" t="str">
        <x:v>Combinada rectangular</x:v>
      </x:c>
      <x:c r="C58" s="79" t="str">
        <x:v>AXC-BMK-COMBINED-001</x:v>
      </x:c>
      <x:c r="D58" s="79" t="str">
        <x:v>column1WidthM</x:v>
      </x:c>
      <x:c r="E58" s="80" t="n">
        <x:v>0.45</x:v>
      </x:c>
      <x:c r="F58" s="79" t="str">
        <x:v>m</x:v>
      </x:c>
    </x:row>
    <x:row r="59">
      <x:c r="A59" s="79" t="str">
        <x:v>combined</x:v>
      </x:c>
      <x:c r="B59" s="79" t="str">
        <x:v>Combinada rectangular</x:v>
      </x:c>
      <x:c r="C59" s="79" t="str">
        <x:v>AXC-BMK-COMBINED-001</x:v>
      </x:c>
      <x:c r="D59" s="79" t="str">
        <x:v>column1LengthM</x:v>
      </x:c>
      <x:c r="E59" s="80" t="n">
        <x:v>0.45</x:v>
      </x:c>
      <x:c r="F59" s="79" t="str">
        <x:v>m</x:v>
      </x:c>
    </x:row>
    <x:row r="60">
      <x:c r="A60" s="79" t="str">
        <x:v>combined</x:v>
      </x:c>
      <x:c r="B60" s="79" t="str">
        <x:v>Combinada rectangular</x:v>
      </x:c>
      <x:c r="C60" s="79" t="str">
        <x:v>AXC-BMK-COMBINED-001</x:v>
      </x:c>
      <x:c r="D60" s="79" t="str">
        <x:v>column1CenterFromLeftM</x:v>
      </x:c>
      <x:c r="E60" s="80" t="n">
        <x:v>0.8</x:v>
      </x:c>
      <x:c r="F60" s="79" t="str">
        <x:v>m</x:v>
      </x:c>
    </x:row>
    <x:row r="61">
      <x:c r="A61" s="79" t="str">
        <x:v>combined</x:v>
      </x:c>
      <x:c r="B61" s="79" t="str">
        <x:v>Combinada rectangular</x:v>
      </x:c>
      <x:c r="C61" s="79" t="str">
        <x:v>AXC-BMK-COMBINED-001</x:v>
      </x:c>
      <x:c r="D61" s="79" t="str">
        <x:v>column2WidthM</x:v>
      </x:c>
      <x:c r="E61" s="80" t="n">
        <x:v>0.5</x:v>
      </x:c>
      <x:c r="F61" s="79" t="str">
        <x:v>m</x:v>
      </x:c>
    </x:row>
    <x:row r="62">
      <x:c r="A62" s="79" t="str">
        <x:v>combined</x:v>
      </x:c>
      <x:c r="B62" s="79" t="str">
        <x:v>Combinada rectangular</x:v>
      </x:c>
      <x:c r="C62" s="79" t="str">
        <x:v>AXC-BMK-COMBINED-001</x:v>
      </x:c>
      <x:c r="D62" s="79" t="str">
        <x:v>column2LengthM</x:v>
      </x:c>
      <x:c r="E62" s="80" t="n">
        <x:v>0.5</x:v>
      </x:c>
      <x:c r="F62" s="79" t="str">
        <x:v>m</x:v>
      </x:c>
    </x:row>
    <x:row r="63">
      <x:c r="A63" s="79" t="str">
        <x:v>combined</x:v>
      </x:c>
      <x:c r="B63" s="79" t="str">
        <x:v>Combinada rectangular</x:v>
      </x:c>
      <x:c r="C63" s="79" t="str">
        <x:v>AXC-BMK-COMBINED-001</x:v>
      </x:c>
      <x:c r="D63" s="79" t="str">
        <x:v>column2CenterFromLeftM</x:v>
      </x:c>
      <x:c r="E63" s="80" t="n">
        <x:v>4.2</x:v>
      </x:c>
      <x:c r="F63" s="79" t="str">
        <x:v>m</x:v>
      </x:c>
    </x:row>
    <x:row r="64">
      <x:c r="A64" s="79" t="str">
        <x:v>combined</x:v>
      </x:c>
      <x:c r="B64" s="79" t="str">
        <x:v>Combinada rectangular</x:v>
      </x:c>
      <x:c r="C64" s="79" t="str">
        <x:v>AXC-BMK-COMBINED-001</x:v>
      </x:c>
      <x:c r="D64" s="79" t="str">
        <x:v>concreteCoverM</x:v>
      </x:c>
      <x:c r="E64" s="80" t="n">
        <x:v>0.075</x:v>
      </x:c>
      <x:c r="F64" s="79" t="str">
        <x:v>m</x:v>
      </x:c>
    </x:row>
    <x:row r="65">
      <x:c r="A65" s="79" t="str">
        <x:v>combined</x:v>
      </x:c>
      <x:c r="B65" s="79" t="str">
        <x:v>Combinada rectangular</x:v>
      </x:c>
      <x:c r="C65" s="79" t="str">
        <x:v>AXC-BMK-COMBINED-001</x:v>
      </x:c>
      <x:c r="D65" s="79" t="str">
        <x:v>barDiameterM</x:v>
      </x:c>
      <x:c r="E65" s="80" t="n">
        <x:v>0.016</x:v>
      </x:c>
      <x:c r="F65" s="79" t="str">
        <x:v>m</x:v>
      </x:c>
    </x:row>
    <x:row r="66">
      <x:c r="A66" s="79" t="str">
        <x:v>combined</x:v>
      </x:c>
      <x:c r="B66" s="79" t="str">
        <x:v>Combinada rectangular</x:v>
      </x:c>
      <x:c r="C66" s="79" t="str">
        <x:v>AXC-BMK-COMBINED-001</x:v>
      </x:c>
      <x:c r="D66" s="79" t="str">
        <x:v>concreteStrengthMpa</x:v>
      </x:c>
      <x:c r="E66" s="80" t="n">
        <x:v>23.54</x:v>
      </x:c>
      <x:c r="F66" s="79" t="str">
        <x:v>MPa</x:v>
      </x:c>
    </x:row>
    <x:row r="67">
      <x:c r="A67" s="79" t="str">
        <x:v>combined</x:v>
      </x:c>
      <x:c r="B67" s="79" t="str">
        <x:v>Combinada rectangular</x:v>
      </x:c>
      <x:c r="C67" s="79" t="str">
        <x:v>AXC-BMK-COMBINED-001</x:v>
      </x:c>
      <x:c r="D67" s="79" t="str">
        <x:v>steelYieldStrengthMpa</x:v>
      </x:c>
      <x:c r="E67" s="80" t="n">
        <x:v>412.08</x:v>
      </x:c>
      <x:c r="F67" s="79" t="str">
        <x:v>MPa</x:v>
      </x:c>
    </x:row>
    <x:row r="68">
      <x:c r="A68" s="79" t="str">
        <x:v>combined</x:v>
      </x:c>
      <x:c r="B68" s="79" t="str">
        <x:v>Combinada rectangular</x:v>
      </x:c>
      <x:c r="C68" s="79" t="str">
        <x:v>AXC-BMK-COMBINED-001</x:v>
      </x:c>
      <x:c r="D68" s="79" t="str">
        <x:v>longitudinalBottomBarSpacingM</x:v>
      </x:c>
      <x:c r="E68" s="80" t="n">
        <x:v>0.15</x:v>
      </x:c>
      <x:c r="F68" s="79" t="str">
        <x:v>m</x:v>
      </x:c>
    </x:row>
    <x:row r="69">
      <x:c r="A69" s="79" t="str">
        <x:v>combined</x:v>
      </x:c>
      <x:c r="B69" s="79" t="str">
        <x:v>Combinada rectangular</x:v>
      </x:c>
      <x:c r="C69" s="79" t="str">
        <x:v>AXC-BMK-COMBINED-001</x:v>
      </x:c>
      <x:c r="D69" s="79" t="str">
        <x:v>longitudinalTopBarSpacingM</x:v>
      </x:c>
      <x:c r="E69" s="80" t="n">
        <x:v>0.15</x:v>
      </x:c>
      <x:c r="F69" s="79" t="str">
        <x:v>m</x:v>
      </x:c>
    </x:row>
    <x:row r="70">
      <x:c r="A70" s="79" t="str">
        <x:v>combined</x:v>
      </x:c>
      <x:c r="B70" s="79" t="str">
        <x:v>Combinada rectangular</x:v>
      </x:c>
      <x:c r="C70" s="79" t="str">
        <x:v>AXC-BMK-COMBINED-001</x:v>
      </x:c>
      <x:c r="D70" s="79" t="str">
        <x:v>transverseBarSpacingM</x:v>
      </x:c>
      <x:c r="E70" s="80" t="n">
        <x:v>0.15</x:v>
      </x:c>
      <x:c r="F70" s="79" t="str">
        <x:v>m</x:v>
      </x:c>
    </x:row>
    <x:row r="71">
      <x:c r="A71" s="79" t="str">
        <x:v>combined</x:v>
      </x:c>
      <x:c r="B71" s="79" t="str">
        <x:v>Combinada rectangular</x:v>
      </x:c>
      <x:c r="C71" s="79" t="str">
        <x:v>AXC-BMK-COMBINED-001</x:v>
      </x:c>
      <x:c r="D71" s="79" t="str">
        <x:v>longitudinalDevelopmentAvailableM</x:v>
      </x:c>
      <x:c r="E71" s="80" t="n">
        <x:v>1.1</x:v>
      </x:c>
      <x:c r="F71" s="79" t="str">
        <x:v>m</x:v>
      </x:c>
    </x:row>
    <x:row r="72">
      <x:c r="A72" s="79" t="str">
        <x:v>combined</x:v>
      </x:c>
      <x:c r="B72" s="79" t="str">
        <x:v>Combinada rectangular</x:v>
      </x:c>
      <x:c r="C72" s="79" t="str">
        <x:v>AXC-BMK-COMBINED-001</x:v>
      </x:c>
      <x:c r="D72" s="79" t="str">
        <x:v>transverseDevelopmentAvailableM</x:v>
      </x:c>
      <x:c r="E72" s="80" t="n">
        <x:v>1.1</x:v>
      </x:c>
      <x:c r="F72" s="79" t="str">
        <x:v>m</x:v>
      </x:c>
    </x:row>
    <x:row r="73">
      <x:c r="A73" s="79" t="str">
        <x:v>strap</x:v>
      </x:c>
      <x:c r="B73" s="79" t="str">
        <x:v>Medianera con viga</x:v>
      </x:c>
      <x:c r="C73" s="79" t="str">
        <x:v>AXC-BMK-STRAP-001</x:v>
      </x:c>
      <x:c r="D73" s="79" t="str">
        <x:v>serviceExteriorLoadKn</x:v>
      </x:c>
      <x:c r="E73" s="80" t="n">
        <x:v>600</x:v>
      </x:c>
      <x:c r="F73" s="79" t="str">
        <x:v>kN</x:v>
      </x:c>
    </x:row>
    <x:row r="74">
      <x:c r="A74" s="79" t="str">
        <x:v>strap</x:v>
      </x:c>
      <x:c r="B74" s="79" t="str">
        <x:v>Medianera con viga</x:v>
      </x:c>
      <x:c r="C74" s="79" t="str">
        <x:v>AXC-BMK-STRAP-001</x:v>
      </x:c>
      <x:c r="D74" s="79" t="str">
        <x:v>serviceInteriorLoadKn</x:v>
      </x:c>
      <x:c r="E74" s="80" t="n">
        <x:v>900</x:v>
      </x:c>
      <x:c r="F74" s="79" t="str">
        <x:v>kN</x:v>
      </x:c>
    </x:row>
    <x:row r="75">
      <x:c r="A75" s="79" t="str">
        <x:v>strap</x:v>
      </x:c>
      <x:c r="B75" s="79" t="str">
        <x:v>Medianera con viga</x:v>
      </x:c>
      <x:c r="C75" s="79" t="str">
        <x:v>AXC-BMK-STRAP-001</x:v>
      </x:c>
      <x:c r="D75" s="79" t="str">
        <x:v>factoredExteriorLoadKn</x:v>
      </x:c>
      <x:c r="E75" s="80" t="n">
        <x:v>900</x:v>
      </x:c>
      <x:c r="F75" s="79" t="str">
        <x:v>kN</x:v>
      </x:c>
    </x:row>
    <x:row r="76">
      <x:c r="A76" s="79" t="str">
        <x:v>strap</x:v>
      </x:c>
      <x:c r="B76" s="79" t="str">
        <x:v>Medianera con viga</x:v>
      </x:c>
      <x:c r="C76" s="79" t="str">
        <x:v>AXC-BMK-STRAP-001</x:v>
      </x:c>
      <x:c r="D76" s="79" t="str">
        <x:v>factoredInteriorLoadKn</x:v>
      </x:c>
      <x:c r="E76" s="80" t="n">
        <x:v>1350</x:v>
      </x:c>
      <x:c r="F76" s="79" t="str">
        <x:v>kN</x:v>
      </x:c>
    </x:row>
    <x:row r="77">
      <x:c r="A77" s="79" t="str">
        <x:v>strap</x:v>
      </x:c>
      <x:c r="B77" s="79" t="str">
        <x:v>Medianera con viga</x:v>
      </x:c>
      <x:c r="C77" s="79" t="str">
        <x:v>AXC-BMK-STRAP-001</x:v>
      </x:c>
      <x:c r="D77" s="79" t="str">
        <x:v>allowableBearingKpa</x:v>
      </x:c>
      <x:c r="E77" s="80" t="n">
        <x:v>250</x:v>
      </x:c>
      <x:c r="F77" s="79" t="str">
        <x:v>kPa</x:v>
      </x:c>
    </x:row>
    <x:row r="78">
      <x:c r="A78" s="79" t="str">
        <x:v>strap</x:v>
      </x:c>
      <x:c r="B78" s="79" t="str">
        <x:v>Medianera con viga</x:v>
      </x:c>
      <x:c r="C78" s="79" t="str">
        <x:v>AXC-BMK-STRAP-001</x:v>
      </x:c>
      <x:c r="D78" s="79" t="str">
        <x:v>bearingCapacityBasis</x:v>
      </x:c>
      <x:c r="E78" s="80" t="str">
        <x:v>gross</x:v>
      </x:c>
      <x:c r="F78" s="79" t="str"/>
    </x:row>
    <x:row r="79">
      <x:c r="A79" s="79" t="str">
        <x:v>strap</x:v>
      </x:c>
      <x:c r="B79" s="79" t="str">
        <x:v>Medianera con viga</x:v>
      </x:c>
      <x:c r="C79" s="79" t="str">
        <x:v>AXC-BMK-STRAP-001</x:v>
      </x:c>
      <x:c r="D79" s="79" t="str">
        <x:v>removedOverburdenKpa</x:v>
      </x:c>
      <x:c r="E79" s="80" t="n">
        <x:v>0</x:v>
      </x:c>
      <x:c r="F79" s="79" t="str">
        <x:v>kPa</x:v>
      </x:c>
    </x:row>
    <x:row r="80">
      <x:c r="A80" s="79" t="str">
        <x:v>strap</x:v>
      </x:c>
      <x:c r="B80" s="79" t="str">
        <x:v>Medianera con viga</x:v>
      </x:c>
      <x:c r="C80" s="79" t="str">
        <x:v>AXC-BMK-STRAP-001</x:v>
      </x:c>
      <x:c r="D80" s="79" t="str">
        <x:v>concreteUnitWeightKnM3</x:v>
      </x:c>
      <x:c r="E80" s="80" t="n">
        <x:v>24</x:v>
      </x:c>
      <x:c r="F80" s="79" t="str">
        <x:v>kN/m³</x:v>
      </x:c>
    </x:row>
    <x:row r="81">
      <x:c r="A81" s="79" t="str">
        <x:v>strap</x:v>
      </x:c>
      <x:c r="B81" s="79" t="str">
        <x:v>Medianera con viga</x:v>
      </x:c>
      <x:c r="C81" s="79" t="str">
        <x:v>AXC-BMK-STRAP-001</x:v>
      </x:c>
      <x:c r="D81" s="79" t="str">
        <x:v>soilCoverDepthM</x:v>
      </x:c>
      <x:c r="E81" s="80" t="n">
        <x:v>0</x:v>
      </x:c>
      <x:c r="F81" s="79" t="str">
        <x:v>m</x:v>
      </x:c>
    </x:row>
    <x:row r="82">
      <x:c r="A82" s="79" t="str">
        <x:v>strap</x:v>
      </x:c>
      <x:c r="B82" s="79" t="str">
        <x:v>Medianera con viga</x:v>
      </x:c>
      <x:c r="C82" s="79" t="str">
        <x:v>AXC-BMK-STRAP-001</x:v>
      </x:c>
      <x:c r="D82" s="79" t="str">
        <x:v>soilUnitWeightKnM3</x:v>
      </x:c>
      <x:c r="E82" s="80" t="n">
        <x:v>0</x:v>
      </x:c>
      <x:c r="F82" s="79" t="str">
        <x:v>kN/m³</x:v>
      </x:c>
    </x:row>
    <x:row r="83">
      <x:c r="A83" s="79" t="str">
        <x:v>strap</x:v>
      </x:c>
      <x:c r="B83" s="79" t="str">
        <x:v>Medianera con viga</x:v>
      </x:c>
      <x:c r="C83" s="79" t="str">
        <x:v>AXC-BMK-STRAP-001</x:v>
      </x:c>
      <x:c r="D83" s="79" t="str">
        <x:v>exteriorFootingWidthM</x:v>
      </x:c>
      <x:c r="E83" s="80" t="n">
        <x:v>2</x:v>
      </x:c>
      <x:c r="F83" s="79" t="str">
        <x:v>m</x:v>
      </x:c>
    </x:row>
    <x:row r="84">
      <x:c r="A84" s="79" t="str">
        <x:v>strap</x:v>
      </x:c>
      <x:c r="B84" s="79" t="str">
        <x:v>Medianera con viga</x:v>
      </x:c>
      <x:c r="C84" s="79" t="str">
        <x:v>AXC-BMK-STRAP-001</x:v>
      </x:c>
      <x:c r="D84" s="79" t="str">
        <x:v>exteriorFootingLengthM</x:v>
      </x:c>
      <x:c r="E84" s="80" t="n">
        <x:v>1.6</x:v>
      </x:c>
      <x:c r="F84" s="79" t="str">
        <x:v>m</x:v>
      </x:c>
    </x:row>
    <x:row r="85">
      <x:c r="A85" s="79" t="str">
        <x:v>strap</x:v>
      </x:c>
      <x:c r="B85" s="79" t="str">
        <x:v>Medianera con viga</x:v>
      </x:c>
      <x:c r="C85" s="79" t="str">
        <x:v>AXC-BMK-STRAP-001</x:v>
      </x:c>
      <x:c r="D85" s="79" t="str">
        <x:v>exteriorFootingThicknessM</x:v>
      </x:c>
      <x:c r="E85" s="80" t="n">
        <x:v>0.5</x:v>
      </x:c>
      <x:c r="F85" s="79" t="str">
        <x:v>m</x:v>
      </x:c>
    </x:row>
    <x:row r="86">
      <x:c r="A86" s="79" t="str">
        <x:v>strap</x:v>
      </x:c>
      <x:c r="B86" s="79" t="str">
        <x:v>Medianera con viga</x:v>
      </x:c>
      <x:c r="C86" s="79" t="str">
        <x:v>AXC-BMK-STRAP-001</x:v>
      </x:c>
      <x:c r="D86" s="79" t="str">
        <x:v>interiorFootingWidthM</x:v>
      </x:c>
      <x:c r="E86" s="80" t="n">
        <x:v>2.4</x:v>
      </x:c>
      <x:c r="F86" s="79" t="str">
        <x:v>m</x:v>
      </x:c>
    </x:row>
    <x:row r="87">
      <x:c r="A87" s="79" t="str">
        <x:v>strap</x:v>
      </x:c>
      <x:c r="B87" s="79" t="str">
        <x:v>Medianera con viga</x:v>
      </x:c>
      <x:c r="C87" s="79" t="str">
        <x:v>AXC-BMK-STRAP-001</x:v>
      </x:c>
      <x:c r="D87" s="79" t="str">
        <x:v>interiorFootingLengthM</x:v>
      </x:c>
      <x:c r="E87" s="80" t="n">
        <x:v>2.2</x:v>
      </x:c>
      <x:c r="F87" s="79" t="str">
        <x:v>m</x:v>
      </x:c>
    </x:row>
    <x:row r="88">
      <x:c r="A88" s="79" t="str">
        <x:v>strap</x:v>
      </x:c>
      <x:c r="B88" s="79" t="str">
        <x:v>Medianera con viga</x:v>
      </x:c>
      <x:c r="C88" s="79" t="str">
        <x:v>AXC-BMK-STRAP-001</x:v>
      </x:c>
      <x:c r="D88" s="79" t="str">
        <x:v>interiorFootingThicknessM</x:v>
      </x:c>
      <x:c r="E88" s="80" t="n">
        <x:v>0.55</x:v>
      </x:c>
      <x:c r="F88" s="79" t="str">
        <x:v>m</x:v>
      </x:c>
    </x:row>
    <x:row r="89">
      <x:c r="A89" s="79" t="str">
        <x:v>strap</x:v>
      </x:c>
      <x:c r="B89" s="79" t="str">
        <x:v>Medianera con viga</x:v>
      </x:c>
      <x:c r="C89" s="79" t="str">
        <x:v>AXC-BMK-STRAP-001</x:v>
      </x:c>
      <x:c r="D89" s="79" t="str">
        <x:v>footingCenterSpacingM</x:v>
      </x:c>
      <x:c r="E89" s="80" t="n">
        <x:v>5</x:v>
      </x:c>
      <x:c r="F89" s="79" t="str">
        <x:v>m</x:v>
      </x:c>
    </x:row>
    <x:row r="90">
      <x:c r="A90" s="79" t="str">
        <x:v>strap</x:v>
      </x:c>
      <x:c r="B90" s="79" t="str">
        <x:v>Medianera con viga</x:v>
      </x:c>
      <x:c r="C90" s="79" t="str">
        <x:v>AXC-BMK-STRAP-001</x:v>
      </x:c>
      <x:c r="D90" s="79" t="str">
        <x:v>exteriorColumnWidthM</x:v>
      </x:c>
      <x:c r="E90" s="80" t="n">
        <x:v>0.4</x:v>
      </x:c>
      <x:c r="F90" s="79" t="str">
        <x:v>m</x:v>
      </x:c>
    </x:row>
    <x:row r="91">
      <x:c r="A91" s="79" t="str">
        <x:v>strap</x:v>
      </x:c>
      <x:c r="B91" s="79" t="str">
        <x:v>Medianera con viga</x:v>
      </x:c>
      <x:c r="C91" s="79" t="str">
        <x:v>AXC-BMK-STRAP-001</x:v>
      </x:c>
      <x:c r="D91" s="79" t="str">
        <x:v>exteriorColumnLengthM</x:v>
      </x:c>
      <x:c r="E91" s="80" t="n">
        <x:v>0.4</x:v>
      </x:c>
      <x:c r="F91" s="79" t="str">
        <x:v>m</x:v>
      </x:c>
    </x:row>
    <x:row r="92">
      <x:c r="A92" s="79" t="str">
        <x:v>strap</x:v>
      </x:c>
      <x:c r="B92" s="79" t="str">
        <x:v>Medianera con viga</x:v>
      </x:c>
      <x:c r="C92" s="79" t="str">
        <x:v>AXC-BMK-STRAP-001</x:v>
      </x:c>
      <x:c r="D92" s="79" t="str">
        <x:v>exteriorColumnCenterFromOuterEdgeM</x:v>
      </x:c>
      <x:c r="E92" s="80" t="n">
        <x:v>0.5</x:v>
      </x:c>
      <x:c r="F92" s="79" t="str">
        <x:v>m</x:v>
      </x:c>
    </x:row>
    <x:row r="93">
      <x:c r="A93" s="79" t="str">
        <x:v>strap</x:v>
      </x:c>
      <x:c r="B93" s="79" t="str">
        <x:v>Medianera con viga</x:v>
      </x:c>
      <x:c r="C93" s="79" t="str">
        <x:v>AXC-BMK-STRAP-001</x:v>
      </x:c>
      <x:c r="D93" s="79" t="str">
        <x:v>interiorColumnWidthM</x:v>
      </x:c>
      <x:c r="E93" s="80" t="n">
        <x:v>0.5</x:v>
      </x:c>
      <x:c r="F93" s="79" t="str">
        <x:v>m</x:v>
      </x:c>
    </x:row>
    <x:row r="94">
      <x:c r="A94" s="79" t="str">
        <x:v>strap</x:v>
      </x:c>
      <x:c r="B94" s="79" t="str">
        <x:v>Medianera con viga</x:v>
      </x:c>
      <x:c r="C94" s="79" t="str">
        <x:v>AXC-BMK-STRAP-001</x:v>
      </x:c>
      <x:c r="D94" s="79" t="str">
        <x:v>interiorColumnLengthM</x:v>
      </x:c>
      <x:c r="E94" s="80" t="n">
        <x:v>0.5</x:v>
      </x:c>
      <x:c r="F94" s="79" t="str">
        <x:v>m</x:v>
      </x:c>
    </x:row>
    <x:row r="95">
      <x:c r="A95" s="79" t="str">
        <x:v>strap</x:v>
      </x:c>
      <x:c r="B95" s="79" t="str">
        <x:v>Medianera con viga</x:v>
      </x:c>
      <x:c r="C95" s="79" t="str">
        <x:v>AXC-BMK-STRAP-001</x:v>
      </x:c>
      <x:c r="D95" s="79" t="str">
        <x:v>strapBeamWidthM</x:v>
      </x:c>
      <x:c r="E95" s="80" t="n">
        <x:v>0.35</x:v>
      </x:c>
      <x:c r="F95" s="79" t="str">
        <x:v>m</x:v>
      </x:c>
    </x:row>
    <x:row r="96">
      <x:c r="A96" s="79" t="str">
        <x:v>strap</x:v>
      </x:c>
      <x:c r="B96" s="79" t="str">
        <x:v>Medianera con viga</x:v>
      </x:c>
      <x:c r="C96" s="79" t="str">
        <x:v>AXC-BMK-STRAP-001</x:v>
      </x:c>
      <x:c r="D96" s="79" t="str">
        <x:v>strapBeamDepthM</x:v>
      </x:c>
      <x:c r="E96" s="80" t="n">
        <x:v>0.65</x:v>
      </x:c>
      <x:c r="F96" s="79" t="str">
        <x:v>m</x:v>
      </x:c>
    </x:row>
    <x:row r="97">
      <x:c r="A97" s="79" t="str">
        <x:v>strap</x:v>
      </x:c>
      <x:c r="B97" s="79" t="str">
        <x:v>Medianera con viga</x:v>
      </x:c>
      <x:c r="C97" s="79" t="str">
        <x:v>AXC-BMK-STRAP-001</x:v>
      </x:c>
      <x:c r="D97" s="79" t="str">
        <x:v>concreteCoverM</x:v>
      </x:c>
      <x:c r="E97" s="80" t="n">
        <x:v>0.075</x:v>
      </x:c>
      <x:c r="F97" s="79" t="str">
        <x:v>m</x:v>
      </x:c>
    </x:row>
    <x:row r="98">
      <x:c r="A98" s="79" t="str">
        <x:v>strap</x:v>
      </x:c>
      <x:c r="B98" s="79" t="str">
        <x:v>Medianera con viga</x:v>
      </x:c>
      <x:c r="C98" s="79" t="str">
        <x:v>AXC-BMK-STRAP-001</x:v>
      </x:c>
      <x:c r="D98" s="79" t="str">
        <x:v>barDiameterM</x:v>
      </x:c>
      <x:c r="E98" s="80" t="n">
        <x:v>0.016</x:v>
      </x:c>
      <x:c r="F98" s="79" t="str">
        <x:v>m</x:v>
      </x:c>
    </x:row>
    <x:row r="99">
      <x:c r="A99" s="79" t="str">
        <x:v>strap</x:v>
      </x:c>
      <x:c r="B99" s="79" t="str">
        <x:v>Medianera con viga</x:v>
      </x:c>
      <x:c r="C99" s="79" t="str">
        <x:v>AXC-BMK-STRAP-001</x:v>
      </x:c>
      <x:c r="D99" s="79" t="str">
        <x:v>concreteStrengthMpa</x:v>
      </x:c>
      <x:c r="E99" s="80" t="n">
        <x:v>23.54</x:v>
      </x:c>
      <x:c r="F99" s="79" t="str">
        <x:v>MPa</x:v>
      </x:c>
    </x:row>
    <x:row r="100">
      <x:c r="A100" s="79" t="str">
        <x:v>strap</x:v>
      </x:c>
      <x:c r="B100" s="79" t="str">
        <x:v>Medianera con viga</x:v>
      </x:c>
      <x:c r="C100" s="79" t="str">
        <x:v>AXC-BMK-STRAP-001</x:v>
      </x:c>
      <x:c r="D100" s="79" t="str">
        <x:v>steelYieldStrengthMpa</x:v>
      </x:c>
      <x:c r="E100" s="80" t="n">
        <x:v>412.08</x:v>
      </x:c>
      <x:c r="F100" s="79" t="str">
        <x:v>MPa</x:v>
      </x:c>
    </x:row>
    <x:row r="101">
      <x:c r="A101" s="79" t="str">
        <x:v>strap</x:v>
      </x:c>
      <x:c r="B101" s="79" t="str">
        <x:v>Medianera con viga</x:v>
      </x:c>
      <x:c r="C101" s="79" t="str">
        <x:v>AXC-BMK-STRAP-001</x:v>
      </x:c>
      <x:c r="D101" s="79" t="str">
        <x:v>padLongitudinalBarSpacingM</x:v>
      </x:c>
      <x:c r="E101" s="80" t="n">
        <x:v>0.15</x:v>
      </x:c>
      <x:c r="F101" s="79" t="str">
        <x:v>m</x:v>
      </x:c>
    </x:row>
    <x:row r="102">
      <x:c r="A102" s="79" t="str">
        <x:v>strap</x:v>
      </x:c>
      <x:c r="B102" s="79" t="str">
        <x:v>Medianera con viga</x:v>
      </x:c>
      <x:c r="C102" s="79" t="str">
        <x:v>AXC-BMK-STRAP-001</x:v>
      </x:c>
      <x:c r="D102" s="79" t="str">
        <x:v>padTransverseBarSpacingM</x:v>
      </x:c>
      <x:c r="E102" s="80" t="n">
        <x:v>0.15</x:v>
      </x:c>
      <x:c r="F102" s="79" t="str">
        <x:v>m</x:v>
      </x:c>
    </x:row>
    <x:row r="103">
      <x:c r="A103" s="79" t="str">
        <x:v>strap</x:v>
      </x:c>
      <x:c r="B103" s="79" t="str">
        <x:v>Medianera con viga</x:v>
      </x:c>
      <x:c r="C103" s="79" t="str">
        <x:v>AXC-BMK-STRAP-001</x:v>
      </x:c>
      <x:c r="D103" s="79" t="str">
        <x:v>beamLongitudinalBarCount</x:v>
      </x:c>
      <x:c r="E103" s="80" t="n">
        <x:v>6</x:v>
      </x:c>
      <x:c r="F103" s="79" t="str"/>
    </x:row>
    <x:row r="104">
      <x:c r="A104" s="79" t="str">
        <x:v>strap</x:v>
      </x:c>
      <x:c r="B104" s="79" t="str">
        <x:v>Medianera con viga</x:v>
      </x:c>
      <x:c r="C104" s="79" t="str">
        <x:v>AXC-BMK-STRAP-001</x:v>
      </x:c>
      <x:c r="D104" s="79" t="str">
        <x:v>padDevelopmentAvailableM</x:v>
      </x:c>
      <x:c r="E104" s="80" t="n">
        <x:v>1.1</x:v>
      </x:c>
      <x:c r="F104" s="79" t="str">
        <x:v>m</x:v>
      </x:c>
    </x:row>
    <x:row r="105">
      <x:c r="A105" s="79" t="str">
        <x:v>strap</x:v>
      </x:c>
      <x:c r="B105" s="79" t="str">
        <x:v>Medianera con viga</x:v>
      </x:c>
      <x:c r="C105" s="79" t="str">
        <x:v>AXC-BMK-STRAP-001</x:v>
      </x:c>
      <x:c r="D105" s="79" t="str">
        <x:v>beamDevelopmentAvailableM</x:v>
      </x:c>
      <x:c r="E105" s="80" t="n">
        <x:v>1.2</x:v>
      </x:c>
      <x:c r="F105" s="79" t="str">
        <x:v>m</x:v>
      </x:c>
    </x:row>
    <x:row r="106">
      <x:c r="A106" s="79" t="str">
        <x:v>trapezoidal</x:v>
      </x:c>
      <x:c r="B106" s="79" t="str">
        <x:v>Combinada trapezoidal</x:v>
      </x:c>
      <x:c r="C106" s="79" t="str">
        <x:v>AXC-BMK-TRAPEZOIDAL-001</x:v>
      </x:c>
      <x:c r="D106" s="79" t="str">
        <x:v>serviceColumn1LoadKn</x:v>
      </x:c>
      <x:c r="E106" s="80" t="n">
        <x:v>500</x:v>
      </x:c>
      <x:c r="F106" s="79" t="str">
        <x:v>kN</x:v>
      </x:c>
    </x:row>
    <x:row r="107">
      <x:c r="A107" s="79" t="str">
        <x:v>trapezoidal</x:v>
      </x:c>
      <x:c r="B107" s="79" t="str">
        <x:v>Combinada trapezoidal</x:v>
      </x:c>
      <x:c r="C107" s="79" t="str">
        <x:v>AXC-BMK-TRAPEZOIDAL-001</x:v>
      </x:c>
      <x:c r="D107" s="79" t="str">
        <x:v>serviceColumn2LoadKn</x:v>
      </x:c>
      <x:c r="E107" s="80" t="n">
        <x:v>700</x:v>
      </x:c>
      <x:c r="F107" s="79" t="str">
        <x:v>kN</x:v>
      </x:c>
    </x:row>
    <x:row r="108">
      <x:c r="A108" s="79" t="str">
        <x:v>trapezoidal</x:v>
      </x:c>
      <x:c r="B108" s="79" t="str">
        <x:v>Combinada trapezoidal</x:v>
      </x:c>
      <x:c r="C108" s="79" t="str">
        <x:v>AXC-BMK-TRAPEZOIDAL-001</x:v>
      </x:c>
      <x:c r="D108" s="79" t="str">
        <x:v>factoredColumn1LoadKn</x:v>
      </x:c>
      <x:c r="E108" s="80" t="n">
        <x:v>750</x:v>
      </x:c>
      <x:c r="F108" s="79" t="str">
        <x:v>kN</x:v>
      </x:c>
    </x:row>
    <x:row r="109">
      <x:c r="A109" s="79" t="str">
        <x:v>trapezoidal</x:v>
      </x:c>
      <x:c r="B109" s="79" t="str">
        <x:v>Combinada trapezoidal</x:v>
      </x:c>
      <x:c r="C109" s="79" t="str">
        <x:v>AXC-BMK-TRAPEZOIDAL-001</x:v>
      </x:c>
      <x:c r="D109" s="79" t="str">
        <x:v>factoredColumn2LoadKn</x:v>
      </x:c>
      <x:c r="E109" s="80" t="n">
        <x:v>1050</x:v>
      </x:c>
      <x:c r="F109" s="79" t="str">
        <x:v>kN</x:v>
      </x:c>
    </x:row>
    <x:row r="110">
      <x:c r="A110" s="79" t="str">
        <x:v>trapezoidal</x:v>
      </x:c>
      <x:c r="B110" s="79" t="str">
        <x:v>Combinada trapezoidal</x:v>
      </x:c>
      <x:c r="C110" s="79" t="str">
        <x:v>AXC-BMK-TRAPEZOIDAL-001</x:v>
      </x:c>
      <x:c r="D110" s="79" t="str">
        <x:v>allowableBearingKpa</x:v>
      </x:c>
      <x:c r="E110" s="80" t="n">
        <x:v>180</x:v>
      </x:c>
      <x:c r="F110" s="79" t="str">
        <x:v>kPa</x:v>
      </x:c>
    </x:row>
    <x:row r="111">
      <x:c r="A111" s="79" t="str">
        <x:v>trapezoidal</x:v>
      </x:c>
      <x:c r="B111" s="79" t="str">
        <x:v>Combinada trapezoidal</x:v>
      </x:c>
      <x:c r="C111" s="79" t="str">
        <x:v>AXC-BMK-TRAPEZOIDAL-001</x:v>
      </x:c>
      <x:c r="D111" s="79" t="str">
        <x:v>bearingCapacityBasis</x:v>
      </x:c>
      <x:c r="E111" s="80" t="str">
        <x:v>gross</x:v>
      </x:c>
      <x:c r="F111" s="79" t="str"/>
    </x:row>
    <x:row r="112">
      <x:c r="A112" s="79" t="str">
        <x:v>trapezoidal</x:v>
      </x:c>
      <x:c r="B112" s="79" t="str">
        <x:v>Combinada trapezoidal</x:v>
      </x:c>
      <x:c r="C112" s="79" t="str">
        <x:v>AXC-BMK-TRAPEZOIDAL-001</x:v>
      </x:c>
      <x:c r="D112" s="79" t="str">
        <x:v>removedOverburdenKpa</x:v>
      </x:c>
      <x:c r="E112" s="80" t="n">
        <x:v>0</x:v>
      </x:c>
      <x:c r="F112" s="79" t="str">
        <x:v>kPa</x:v>
      </x:c>
    </x:row>
    <x:row r="113">
      <x:c r="A113" s="79" t="str">
        <x:v>trapezoidal</x:v>
      </x:c>
      <x:c r="B113" s="79" t="str">
        <x:v>Combinada trapezoidal</x:v>
      </x:c>
      <x:c r="C113" s="79" t="str">
        <x:v>AXC-BMK-TRAPEZOIDAL-001</x:v>
      </x:c>
      <x:c r="D113" s="79" t="str">
        <x:v>concreteUnitWeightKnM3</x:v>
      </x:c>
      <x:c r="E113" s="80" t="n">
        <x:v>24</x:v>
      </x:c>
      <x:c r="F113" s="79" t="str">
        <x:v>kN/m³</x:v>
      </x:c>
    </x:row>
    <x:row r="114">
      <x:c r="A114" s="79" t="str">
        <x:v>trapezoidal</x:v>
      </x:c>
      <x:c r="B114" s="79" t="str">
        <x:v>Combinada trapezoidal</x:v>
      </x:c>
      <x:c r="C114" s="79" t="str">
        <x:v>AXC-BMK-TRAPEZOIDAL-001</x:v>
      </x:c>
      <x:c r="D114" s="79" t="str">
        <x:v>soilCoverDepthM</x:v>
      </x:c>
      <x:c r="E114" s="80" t="n">
        <x:v>0</x:v>
      </x:c>
      <x:c r="F114" s="79" t="str">
        <x:v>m</x:v>
      </x:c>
    </x:row>
    <x:row r="115">
      <x:c r="A115" s="79" t="str">
        <x:v>trapezoidal</x:v>
      </x:c>
      <x:c r="B115" s="79" t="str">
        <x:v>Combinada trapezoidal</x:v>
      </x:c>
      <x:c r="C115" s="79" t="str">
        <x:v>AXC-BMK-TRAPEZOIDAL-001</x:v>
      </x:c>
      <x:c r="D115" s="79" t="str">
        <x:v>soilUnitWeightKnM3</x:v>
      </x:c>
      <x:c r="E115" s="80" t="n">
        <x:v>0</x:v>
      </x:c>
      <x:c r="F115" s="79" t="str">
        <x:v>kN/m³</x:v>
      </x:c>
    </x:row>
    <x:row r="116">
      <x:c r="A116" s="79" t="str">
        <x:v>trapezoidal</x:v>
      </x:c>
      <x:c r="B116" s="79" t="str">
        <x:v>Combinada trapezoidal</x:v>
      </x:c>
      <x:c r="C116" s="79" t="str">
        <x:v>AXC-BMK-TRAPEZOIDAL-001</x:v>
      </x:c>
      <x:c r="D116" s="79" t="str">
        <x:v>leftFootingWidthM</x:v>
      </x:c>
      <x:c r="E116" s="80" t="n">
        <x:v>1.5</x:v>
      </x:c>
      <x:c r="F116" s="79" t="str">
        <x:v>m</x:v>
      </x:c>
    </x:row>
    <x:row r="117">
      <x:c r="A117" s="79" t="str">
        <x:v>trapezoidal</x:v>
      </x:c>
      <x:c r="B117" s="79" t="str">
        <x:v>Combinada trapezoidal</x:v>
      </x:c>
      <x:c r="C117" s="79" t="str">
        <x:v>AXC-BMK-TRAPEZOIDAL-001</x:v>
      </x:c>
      <x:c r="D117" s="79" t="str">
        <x:v>rightFootingWidthM</x:v>
      </x:c>
      <x:c r="E117" s="80" t="n">
        <x:v>2.5</x:v>
      </x:c>
      <x:c r="F117" s="79" t="str">
        <x:v>m</x:v>
      </x:c>
    </x:row>
    <x:row r="118">
      <x:c r="A118" s="79" t="str">
        <x:v>trapezoidal</x:v>
      </x:c>
      <x:c r="B118" s="79" t="str">
        <x:v>Combinada trapezoidal</x:v>
      </x:c>
      <x:c r="C118" s="79" t="str">
        <x:v>AXC-BMK-TRAPEZOIDAL-001</x:v>
      </x:c>
      <x:c r="D118" s="79" t="str">
        <x:v>footingLengthM</x:v>
      </x:c>
      <x:c r="E118" s="80" t="n">
        <x:v>6</x:v>
      </x:c>
      <x:c r="F118" s="79" t="str">
        <x:v>m</x:v>
      </x:c>
    </x:row>
    <x:row r="119">
      <x:c r="A119" s="79" t="str">
        <x:v>trapezoidal</x:v>
      </x:c>
      <x:c r="B119" s="79" t="str">
        <x:v>Combinada trapezoidal</x:v>
      </x:c>
      <x:c r="C119" s="79" t="str">
        <x:v>AXC-BMK-TRAPEZOIDAL-001</x:v>
      </x:c>
      <x:c r="D119" s="79" t="str">
        <x:v>footingThicknessM</x:v>
      </x:c>
      <x:c r="E119" s="80" t="n">
        <x:v>0.5</x:v>
      </x:c>
      <x:c r="F119" s="79" t="str">
        <x:v>m</x:v>
      </x:c>
    </x:row>
    <x:row r="120">
      <x:c r="A120" s="79" t="str">
        <x:v>trapezoidal</x:v>
      </x:c>
      <x:c r="B120" s="79" t="str">
        <x:v>Combinada trapezoidal</x:v>
      </x:c>
      <x:c r="C120" s="79" t="str">
        <x:v>AXC-BMK-TRAPEZOIDAL-001</x:v>
      </x:c>
      <x:c r="D120" s="79" t="str">
        <x:v>column1WidthM</x:v>
      </x:c>
      <x:c r="E120" s="80" t="n">
        <x:v>0.4</x:v>
      </x:c>
      <x:c r="F120" s="79" t="str">
        <x:v>m</x:v>
      </x:c>
    </x:row>
    <x:row r="121">
      <x:c r="A121" s="79" t="str">
        <x:v>trapezoidal</x:v>
      </x:c>
      <x:c r="B121" s="79" t="str">
        <x:v>Combinada trapezoidal</x:v>
      </x:c>
      <x:c r="C121" s="79" t="str">
        <x:v>AXC-BMK-TRAPEZOIDAL-001</x:v>
      </x:c>
      <x:c r="D121" s="79" t="str">
        <x:v>column1LengthM</x:v>
      </x:c>
      <x:c r="E121" s="80" t="n">
        <x:v>0.4</x:v>
      </x:c>
      <x:c r="F121" s="79" t="str">
        <x:v>m</x:v>
      </x:c>
    </x:row>
    <x:row r="122">
      <x:c r="A122" s="79" t="str">
        <x:v>trapezoidal</x:v>
      </x:c>
      <x:c r="B122" s="79" t="str">
        <x:v>Combinada trapezoidal</x:v>
      </x:c>
      <x:c r="C122" s="79" t="str">
        <x:v>AXC-BMK-TRAPEZOIDAL-001</x:v>
      </x:c>
      <x:c r="D122" s="79" t="str">
        <x:v>column1CenterFromLeftM</x:v>
      </x:c>
      <x:c r="E122" s="80" t="n">
        <x:v>0.75</x:v>
      </x:c>
      <x:c r="F122" s="79" t="str">
        <x:v>m</x:v>
      </x:c>
    </x:row>
    <x:row r="123">
      <x:c r="A123" s="79" t="str">
        <x:v>trapezoidal</x:v>
      </x:c>
      <x:c r="B123" s="79" t="str">
        <x:v>Combinada trapezoidal</x:v>
      </x:c>
      <x:c r="C123" s="79" t="str">
        <x:v>AXC-BMK-TRAPEZOIDAL-001</x:v>
      </x:c>
      <x:c r="D123" s="79" t="str">
        <x:v>column2WidthM</x:v>
      </x:c>
      <x:c r="E123" s="80" t="n">
        <x:v>0.4</x:v>
      </x:c>
      <x:c r="F123" s="79" t="str">
        <x:v>m</x:v>
      </x:c>
    </x:row>
    <x:row r="124">
      <x:c r="A124" s="79" t="str">
        <x:v>trapezoidal</x:v>
      </x:c>
      <x:c r="B124" s="79" t="str">
        <x:v>Combinada trapezoidal</x:v>
      </x:c>
      <x:c r="C124" s="79" t="str">
        <x:v>AXC-BMK-TRAPEZOIDAL-001</x:v>
      </x:c>
      <x:c r="D124" s="79" t="str">
        <x:v>column2LengthM</x:v>
      </x:c>
      <x:c r="E124" s="80" t="n">
        <x:v>0.4</x:v>
      </x:c>
      <x:c r="F124" s="79" t="str">
        <x:v>m</x:v>
      </x:c>
    </x:row>
    <x:row r="125">
      <x:c r="A125" s="79" t="str">
        <x:v>trapezoidal</x:v>
      </x:c>
      <x:c r="B125" s="79" t="str">
        <x:v>Combinada trapezoidal</x:v>
      </x:c>
      <x:c r="C125" s="79" t="str">
        <x:v>AXC-BMK-TRAPEZOIDAL-001</x:v>
      </x:c>
      <x:c r="D125" s="79" t="str">
        <x:v>column2CenterFromLeftM</x:v>
      </x:c>
      <x:c r="E125" s="80" t="n">
        <x:v>5.035714285714286</x:v>
      </x:c>
      <x:c r="F125" s="79" t="str">
        <x:v>m</x:v>
      </x:c>
    </x:row>
    <x:row r="126">
      <x:c r="A126" s="79" t="str">
        <x:v>trapezoidal</x:v>
      </x:c>
      <x:c r="B126" s="79" t="str">
        <x:v>Combinada trapezoidal</x:v>
      </x:c>
      <x:c r="C126" s="79" t="str">
        <x:v>AXC-BMK-TRAPEZOIDAL-001</x:v>
      </x:c>
      <x:c r="D126" s="79" t="str">
        <x:v>concreteCoverM</x:v>
      </x:c>
      <x:c r="E126" s="80" t="n">
        <x:v>0.075</x:v>
      </x:c>
      <x:c r="F126" s="79" t="str">
        <x:v>m</x:v>
      </x:c>
    </x:row>
    <x:row r="127">
      <x:c r="A127" s="79" t="str">
        <x:v>trapezoidal</x:v>
      </x:c>
      <x:c r="B127" s="79" t="str">
        <x:v>Combinada trapezoidal</x:v>
      </x:c>
      <x:c r="C127" s="79" t="str">
        <x:v>AXC-BMK-TRAPEZOIDAL-001</x:v>
      </x:c>
      <x:c r="D127" s="79" t="str">
        <x:v>barDiameterM</x:v>
      </x:c>
      <x:c r="E127" s="80" t="n">
        <x:v>0.016</x:v>
      </x:c>
      <x:c r="F127" s="79" t="str">
        <x:v>m</x:v>
      </x:c>
    </x:row>
    <x:row r="128">
      <x:c r="A128" s="79" t="str">
        <x:v>trapezoidal</x:v>
      </x:c>
      <x:c r="B128" s="79" t="str">
        <x:v>Combinada trapezoidal</x:v>
      </x:c>
      <x:c r="C128" s="79" t="str">
        <x:v>AXC-BMK-TRAPEZOIDAL-001</x:v>
      </x:c>
      <x:c r="D128" s="79" t="str">
        <x:v>concreteStrengthMpa</x:v>
      </x:c>
      <x:c r="E128" s="80" t="n">
        <x:v>23.54</x:v>
      </x:c>
      <x:c r="F128" s="79" t="str">
        <x:v>MPa</x:v>
      </x:c>
    </x:row>
    <x:row r="129">
      <x:c r="A129" s="79" t="str">
        <x:v>trapezoidal</x:v>
      </x:c>
      <x:c r="B129" s="79" t="str">
        <x:v>Combinada trapezoidal</x:v>
      </x:c>
      <x:c r="C129" s="79" t="str">
        <x:v>AXC-BMK-TRAPEZOIDAL-001</x:v>
      </x:c>
      <x:c r="D129" s="79" t="str">
        <x:v>steelYieldStrengthMpa</x:v>
      </x:c>
      <x:c r="E129" s="80" t="n">
        <x:v>412.08</x:v>
      </x:c>
      <x:c r="F129" s="79" t="str">
        <x:v>MPa</x:v>
      </x:c>
    </x:row>
    <x:row r="130">
      <x:c r="A130" s="79" t="str">
        <x:v>trapezoidal</x:v>
      </x:c>
      <x:c r="B130" s="79" t="str">
        <x:v>Combinada trapezoidal</x:v>
      </x:c>
      <x:c r="C130" s="79" t="str">
        <x:v>AXC-BMK-TRAPEZOIDAL-001</x:v>
      </x:c>
      <x:c r="D130" s="79" t="str">
        <x:v>longitudinalBottomBarSpacingM</x:v>
      </x:c>
      <x:c r="E130" s="80" t="n">
        <x:v>0.15</x:v>
      </x:c>
      <x:c r="F130" s="79" t="str">
        <x:v>m</x:v>
      </x:c>
    </x:row>
    <x:row r="131">
      <x:c r="A131" s="79" t="str">
        <x:v>trapezoidal</x:v>
      </x:c>
      <x:c r="B131" s="79" t="str">
        <x:v>Combinada trapezoidal</x:v>
      </x:c>
      <x:c r="C131" s="79" t="str">
        <x:v>AXC-BMK-TRAPEZOIDAL-001</x:v>
      </x:c>
      <x:c r="D131" s="79" t="str">
        <x:v>longitudinalTopBarSpacingM</x:v>
      </x:c>
      <x:c r="E131" s="80" t="n">
        <x:v>0.15</x:v>
      </x:c>
      <x:c r="F131" s="79" t="str">
        <x:v>m</x:v>
      </x:c>
    </x:row>
    <x:row r="132">
      <x:c r="A132" s="79" t="str">
        <x:v>trapezoidal</x:v>
      </x:c>
      <x:c r="B132" s="79" t="str">
        <x:v>Combinada trapezoidal</x:v>
      </x:c>
      <x:c r="C132" s="79" t="str">
        <x:v>AXC-BMK-TRAPEZOIDAL-001</x:v>
      </x:c>
      <x:c r="D132" s="79" t="str">
        <x:v>transverseBarSpacingM</x:v>
      </x:c>
      <x:c r="E132" s="80" t="n">
        <x:v>0.15</x:v>
      </x:c>
      <x:c r="F132" s="79" t="str">
        <x:v>m</x:v>
      </x:c>
    </x:row>
    <x:row r="133">
      <x:c r="A133" s="79" t="str">
        <x:v>trapezoidal</x:v>
      </x:c>
      <x:c r="B133" s="79" t="str">
        <x:v>Combinada trapezoidal</x:v>
      </x:c>
      <x:c r="C133" s="79" t="str">
        <x:v>AXC-BMK-TRAPEZOIDAL-001</x:v>
      </x:c>
      <x:c r="D133" s="79" t="str">
        <x:v>longitudinalDevelopmentAvailableM</x:v>
      </x:c>
      <x:c r="E133" s="80" t="n">
        <x:v>0.8</x:v>
      </x:c>
      <x:c r="F133" s="79" t="str">
        <x:v>m</x:v>
      </x:c>
    </x:row>
    <x:row r="134">
      <x:c r="A134" s="79" t="str">
        <x:v>trapezoidal</x:v>
      </x:c>
      <x:c r="B134" s="79" t="str">
        <x:v>Combinada trapezoidal</x:v>
      </x:c>
      <x:c r="C134" s="79" t="str">
        <x:v>AXC-BMK-TRAPEZOIDAL-001</x:v>
      </x:c>
      <x:c r="D134" s="79" t="str">
        <x:v>transverseDevelopmentAvailableM</x:v>
      </x:c>
      <x:c r="E134" s="80" t="n">
        <x:v>0.8</x:v>
      </x:c>
      <x:c r="F134" s="79" t="str">
        <x:v>m</x:v>
      </x:c>
    </x:row>
    <x:row r="135">
      <x:c r="A135" s="79" t="str">
        <x:v>edge</x:v>
      </x:c>
      <x:c r="B135" s="79" t="str">
        <x:v>Excéntrica de borde</x:v>
      </x:c>
      <x:c r="C135" s="79" t="str">
        <x:v>AXC-BMK-EDGE-001</x:v>
      </x:c>
      <x:c r="D135" s="79" t="str">
        <x:v>serviceAxialLoadKn</x:v>
      </x:c>
      <x:c r="E135" s="80" t="n">
        <x:v>160</x:v>
      </x:c>
      <x:c r="F135" s="79" t="str">
        <x:v>kN</x:v>
      </x:c>
    </x:row>
    <x:row r="136">
      <x:c r="A136" s="79" t="str">
        <x:v>edge</x:v>
      </x:c>
      <x:c r="B136" s="79" t="str">
        <x:v>Excéntrica de borde</x:v>
      </x:c>
      <x:c r="C136" s="79" t="str">
        <x:v>AXC-BMK-EDGE-001</x:v>
      </x:c>
      <x:c r="D136" s="79" t="str">
        <x:v>factoredAxialLoadKn</x:v>
      </x:c>
      <x:c r="E136" s="80" t="n">
        <x:v>240</x:v>
      </x:c>
      <x:c r="F136" s="79" t="str">
        <x:v>kN</x:v>
      </x:c>
    </x:row>
    <x:row r="137">
      <x:c r="A137" s="79" t="str">
        <x:v>edge</x:v>
      </x:c>
      <x:c r="B137" s="79" t="str">
        <x:v>Excéntrica de borde</x:v>
      </x:c>
      <x:c r="C137" s="79" t="str">
        <x:v>AXC-BMK-EDGE-001</x:v>
      </x:c>
      <x:c r="D137" s="79" t="str">
        <x:v>allowableBearingKpa</x:v>
      </x:c>
      <x:c r="E137" s="80" t="n">
        <x:v>250</x:v>
      </x:c>
      <x:c r="F137" s="79" t="str">
        <x:v>kPa</x:v>
      </x:c>
    </x:row>
    <x:row r="138">
      <x:c r="A138" s="79" t="str">
        <x:v>edge</x:v>
      </x:c>
      <x:c r="B138" s="79" t="str">
        <x:v>Excéntrica de borde</x:v>
      </x:c>
      <x:c r="C138" s="79" t="str">
        <x:v>AXC-BMK-EDGE-001</x:v>
      </x:c>
      <x:c r="D138" s="79" t="str">
        <x:v>bearingCapacityBasis</x:v>
      </x:c>
      <x:c r="E138" s="80" t="str">
        <x:v>gross</x:v>
      </x:c>
      <x:c r="F138" s="79" t="str"/>
    </x:row>
    <x:row r="139">
      <x:c r="A139" s="79" t="str">
        <x:v>edge</x:v>
      </x:c>
      <x:c r="B139" s="79" t="str">
        <x:v>Excéntrica de borde</x:v>
      </x:c>
      <x:c r="C139" s="79" t="str">
        <x:v>AXC-BMK-EDGE-001</x:v>
      </x:c>
      <x:c r="D139" s="79" t="str">
        <x:v>removedOverburdenKpa</x:v>
      </x:c>
      <x:c r="E139" s="80" t="n">
        <x:v>0</x:v>
      </x:c>
      <x:c r="F139" s="79" t="str">
        <x:v>kPa</x:v>
      </x:c>
    </x:row>
    <x:row r="140">
      <x:c r="A140" s="79" t="str">
        <x:v>edge</x:v>
      </x:c>
      <x:c r="B140" s="79" t="str">
        <x:v>Excéntrica de borde</x:v>
      </x:c>
      <x:c r="C140" s="79" t="str">
        <x:v>AXC-BMK-EDGE-001</x:v>
      </x:c>
      <x:c r="D140" s="79" t="str">
        <x:v>concreteUnitWeightKnM3</x:v>
      </x:c>
      <x:c r="E140" s="80" t="n">
        <x:v>24</x:v>
      </x:c>
      <x:c r="F140" s="79" t="str">
        <x:v>kN/m³</x:v>
      </x:c>
    </x:row>
    <x:row r="141">
      <x:c r="A141" s="79" t="str">
        <x:v>edge</x:v>
      </x:c>
      <x:c r="B141" s="79" t="str">
        <x:v>Excéntrica de borde</x:v>
      </x:c>
      <x:c r="C141" s="79" t="str">
        <x:v>AXC-BMK-EDGE-001</x:v>
      </x:c>
      <x:c r="D141" s="79" t="str">
        <x:v>soilCoverDepthM</x:v>
      </x:c>
      <x:c r="E141" s="80" t="n">
        <x:v>0</x:v>
      </x:c>
      <x:c r="F141" s="79" t="str">
        <x:v>m</x:v>
      </x:c>
    </x:row>
    <x:row r="142">
      <x:c r="A142" s="79" t="str">
        <x:v>edge</x:v>
      </x:c>
      <x:c r="B142" s="79" t="str">
        <x:v>Excéntrica de borde</x:v>
      </x:c>
      <x:c r="C142" s="79" t="str">
        <x:v>AXC-BMK-EDGE-001</x:v>
      </x:c>
      <x:c r="D142" s="79" t="str">
        <x:v>soilUnitWeightKnM3</x:v>
      </x:c>
      <x:c r="E142" s="80" t="n">
        <x:v>0</x:v>
      </x:c>
      <x:c r="F142" s="79" t="str">
        <x:v>kN/m³</x:v>
      </x:c>
    </x:row>
    <x:row r="143">
      <x:c r="A143" s="79" t="str">
        <x:v>edge</x:v>
      </x:c>
      <x:c r="B143" s="79" t="str">
        <x:v>Excéntrica de borde</x:v>
      </x:c>
      <x:c r="C143" s="79" t="str">
        <x:v>AXC-BMK-EDGE-001</x:v>
      </x:c>
      <x:c r="D143" s="79" t="str">
        <x:v>footingWidthM</x:v>
      </x:c>
      <x:c r="E143" s="80" t="n">
        <x:v>2.4</x:v>
      </x:c>
      <x:c r="F143" s="79" t="str">
        <x:v>m</x:v>
      </x:c>
    </x:row>
    <x:row r="144">
      <x:c r="A144" s="79" t="str">
        <x:v>edge</x:v>
      </x:c>
      <x:c r="B144" s="79" t="str">
        <x:v>Excéntrica de borde</x:v>
      </x:c>
      <x:c r="C144" s="79" t="str">
        <x:v>AXC-BMK-EDGE-001</x:v>
      </x:c>
      <x:c r="D144" s="79" t="str">
        <x:v>footingLengthM</x:v>
      </x:c>
      <x:c r="E144" s="80" t="n">
        <x:v>0.6</x:v>
      </x:c>
      <x:c r="F144" s="79" t="str">
        <x:v>m</x:v>
      </x:c>
    </x:row>
    <x:row r="145">
      <x:c r="A145" s="79" t="str">
        <x:v>edge</x:v>
      </x:c>
      <x:c r="B145" s="79" t="str">
        <x:v>Excéntrica de borde</x:v>
      </x:c>
      <x:c r="C145" s="79" t="str">
        <x:v>AXC-BMK-EDGE-001</x:v>
      </x:c>
      <x:c r="D145" s="79" t="str">
        <x:v>footingThicknessM</x:v>
      </x:c>
      <x:c r="E145" s="80" t="n">
        <x:v>0.5</x:v>
      </x:c>
      <x:c r="F145" s="79" t="str">
        <x:v>m</x:v>
      </x:c>
    </x:row>
    <x:row r="146">
      <x:c r="A146" s="79" t="str">
        <x:v>edge</x:v>
      </x:c>
      <x:c r="B146" s="79" t="str">
        <x:v>Excéntrica de borde</x:v>
      </x:c>
      <x:c r="C146" s="79" t="str">
        <x:v>AXC-BMK-EDGE-001</x:v>
      </x:c>
      <x:c r="D146" s="79" t="str">
        <x:v>columnWidthM</x:v>
      </x:c>
      <x:c r="E146" s="80" t="n">
        <x:v>0.4</x:v>
      </x:c>
      <x:c r="F146" s="79" t="str">
        <x:v>m</x:v>
      </x:c>
    </x:row>
    <x:row r="147">
      <x:c r="A147" s="79" t="str">
        <x:v>edge</x:v>
      </x:c>
      <x:c r="B147" s="79" t="str">
        <x:v>Excéntrica de borde</x:v>
      </x:c>
      <x:c r="C147" s="79" t="str">
        <x:v>AXC-BMK-EDGE-001</x:v>
      </x:c>
      <x:c r="D147" s="79" t="str">
        <x:v>columnLengthM</x:v>
      </x:c>
      <x:c r="E147" s="80" t="n">
        <x:v>0.45</x:v>
      </x:c>
      <x:c r="F147" s="79" t="str">
        <x:v>m</x:v>
      </x:c>
    </x:row>
    <x:row r="148">
      <x:c r="A148" s="79" t="str">
        <x:v>edge</x:v>
      </x:c>
      <x:c r="B148" s="79" t="str">
        <x:v>Excéntrica de borde</x:v>
      </x:c>
      <x:c r="C148" s="79" t="str">
        <x:v>AXC-BMK-EDGE-001</x:v>
      </x:c>
      <x:c r="D148" s="79" t="str">
        <x:v>edgeSide</x:v>
      </x:c>
      <x:c r="E148" s="80" t="str">
        <x:v>left</x:v>
      </x:c>
      <x:c r="F148" s="79" t="str"/>
    </x:row>
    <x:row r="149">
      <x:c r="A149" s="79" t="str">
        <x:v>edge</x:v>
      </x:c>
      <x:c r="B149" s="79" t="str">
        <x:v>Excéntrica de borde</x:v>
      </x:c>
      <x:c r="C149" s="79" t="str">
        <x:v>AXC-BMK-EDGE-001</x:v>
      </x:c>
      <x:c r="D149" s="79" t="str">
        <x:v>concreteCoverM</x:v>
      </x:c>
      <x:c r="E149" s="80" t="n">
        <x:v>0.075</x:v>
      </x:c>
      <x:c r="F149" s="79" t="str">
        <x:v>m</x:v>
      </x:c>
    </x:row>
    <x:row r="150">
      <x:c r="A150" s="79" t="str">
        <x:v>edge</x:v>
      </x:c>
      <x:c r="B150" s="79" t="str">
        <x:v>Excéntrica de borde</x:v>
      </x:c>
      <x:c r="C150" s="79" t="str">
        <x:v>AXC-BMK-EDGE-001</x:v>
      </x:c>
      <x:c r="D150" s="79" t="str">
        <x:v>barDiameterM</x:v>
      </x:c>
      <x:c r="E150" s="80" t="n">
        <x:v>0.016</x:v>
      </x:c>
      <x:c r="F150" s="79" t="str">
        <x:v>m</x:v>
      </x:c>
    </x:row>
    <x:row r="151">
      <x:c r="A151" s="79" t="str">
        <x:v>edge</x:v>
      </x:c>
      <x:c r="B151" s="79" t="str">
        <x:v>Excéntrica de borde</x:v>
      </x:c>
      <x:c r="C151" s="79" t="str">
        <x:v>AXC-BMK-EDGE-001</x:v>
      </x:c>
      <x:c r="D151" s="79" t="str">
        <x:v>concreteStrengthMpa</x:v>
      </x:c>
      <x:c r="E151" s="80" t="n">
        <x:v>23.54</x:v>
      </x:c>
      <x:c r="F151" s="79" t="str">
        <x:v>MPa</x:v>
      </x:c>
    </x:row>
    <x:row r="152">
      <x:c r="A152" s="79" t="str">
        <x:v>edge</x:v>
      </x:c>
      <x:c r="B152" s="79" t="str">
        <x:v>Excéntrica de borde</x:v>
      </x:c>
      <x:c r="C152" s="79" t="str">
        <x:v>AXC-BMK-EDGE-001</x:v>
      </x:c>
      <x:c r="D152" s="79" t="str">
        <x:v>steelYieldStrengthMpa</x:v>
      </x:c>
      <x:c r="E152" s="80" t="n">
        <x:v>412.08</x:v>
      </x:c>
      <x:c r="F152" s="79" t="str">
        <x:v>MPa</x:v>
      </x:c>
    </x:row>
    <x:row r="153">
      <x:c r="A153" s="79" t="str">
        <x:v>edge</x:v>
      </x:c>
      <x:c r="B153" s="79" t="str">
        <x:v>Excéntrica de borde</x:v>
      </x:c>
      <x:c r="C153" s="79" t="str">
        <x:v>AXC-BMK-EDGE-001</x:v>
      </x:c>
      <x:c r="D153" s="79" t="str">
        <x:v>longitudinalBarSpacingM</x:v>
      </x:c>
      <x:c r="E153" s="80" t="n">
        <x:v>0.15</x:v>
      </x:c>
      <x:c r="F153" s="79" t="str">
        <x:v>m</x:v>
      </x:c>
    </x:row>
    <x:row r="154">
      <x:c r="A154" s="79" t="str">
        <x:v>edge</x:v>
      </x:c>
      <x:c r="B154" s="79" t="str">
        <x:v>Excéntrica de borde</x:v>
      </x:c>
      <x:c r="C154" s="79" t="str">
        <x:v>AXC-BMK-EDGE-001</x:v>
      </x:c>
      <x:c r="D154" s="79" t="str">
        <x:v>transverseBarSpacingM</x:v>
      </x:c>
      <x:c r="E154" s="80" t="n">
        <x:v>0.15</x:v>
      </x:c>
      <x:c r="F154" s="79" t="str">
        <x:v>m</x:v>
      </x:c>
    </x:row>
    <x:row r="155">
      <x:c r="A155" s="79" t="str">
        <x:v>edge</x:v>
      </x:c>
      <x:c r="B155" s="79" t="str">
        <x:v>Excéntrica de borde</x:v>
      </x:c>
      <x:c r="C155" s="79" t="str">
        <x:v>AXC-BMK-EDGE-001</x:v>
      </x:c>
      <x:c r="D155" s="79" t="str">
        <x:v>longitudinalDevelopmentAvailableM</x:v>
      </x:c>
      <x:c r="E155" s="80" t="n">
        <x:v>0.5</x:v>
      </x:c>
      <x:c r="F155" s="79" t="str">
        <x:v>m</x:v>
      </x:c>
    </x:row>
    <x:row r="156">
      <x:c r="A156" s="79" t="str">
        <x:v>edge</x:v>
      </x:c>
      <x:c r="B156" s="79" t="str">
        <x:v>Excéntrica de borde</x:v>
      </x:c>
      <x:c r="C156" s="79" t="str">
        <x:v>AXC-BMK-EDGE-001</x:v>
      </x:c>
      <x:c r="D156" s="79" t="str">
        <x:v>transverseDevelopmentAvailableM</x:v>
      </x:c>
      <x:c r="E156" s="80" t="n">
        <x:v>1</x:v>
      </x:c>
      <x:c r="F156" s="79" t="str">
        <x:v>m</x:v>
      </x:c>
    </x:row>
    <x:row r="157">
      <x:c r="A157" s="79" t="str">
        <x:v>corner</x:v>
      </x:c>
      <x:c r="B157" s="79" t="str">
        <x:v>Esquina biaxial</x:v>
      </x:c>
      <x:c r="C157" s="79" t="str">
        <x:v>AXC-BMK-CORNER-001</x:v>
      </x:c>
      <x:c r="D157" s="79" t="str">
        <x:v>serviceAxialLoadKn</x:v>
      </x:c>
      <x:c r="E157" s="80" t="n">
        <x:v>40</x:v>
      </x:c>
      <x:c r="F157" s="79" t="str">
        <x:v>kN</x:v>
      </x:c>
    </x:row>
    <x:row r="158">
      <x:c r="A158" s="79" t="str">
        <x:v>corner</x:v>
      </x:c>
      <x:c r="B158" s="79" t="str">
        <x:v>Esquina biaxial</x:v>
      </x:c>
      <x:c r="C158" s="79" t="str">
        <x:v>AXC-BMK-CORNER-001</x:v>
      </x:c>
      <x:c r="D158" s="79" t="str">
        <x:v>factoredAxialLoadKn</x:v>
      </x:c>
      <x:c r="E158" s="80" t="n">
        <x:v>60</x:v>
      </x:c>
      <x:c r="F158" s="79" t="str">
        <x:v>kN</x:v>
      </x:c>
    </x:row>
    <x:row r="159">
      <x:c r="A159" s="79" t="str">
        <x:v>corner</x:v>
      </x:c>
      <x:c r="B159" s="79" t="str">
        <x:v>Esquina biaxial</x:v>
      </x:c>
      <x:c r="C159" s="79" t="str">
        <x:v>AXC-BMK-CORNER-001</x:v>
      </x:c>
      <x:c r="D159" s="79" t="str">
        <x:v>allowableBearingKpa</x:v>
      </x:c>
      <x:c r="E159" s="80" t="n">
        <x:v>450</x:v>
      </x:c>
      <x:c r="F159" s="79" t="str">
        <x:v>kPa</x:v>
      </x:c>
    </x:row>
    <x:row r="160">
      <x:c r="A160" s="79" t="str">
        <x:v>corner</x:v>
      </x:c>
      <x:c r="B160" s="79" t="str">
        <x:v>Esquina biaxial</x:v>
      </x:c>
      <x:c r="C160" s="79" t="str">
        <x:v>AXC-BMK-CORNER-001</x:v>
      </x:c>
      <x:c r="D160" s="79" t="str">
        <x:v>bearingCapacityBasis</x:v>
      </x:c>
      <x:c r="E160" s="80" t="str">
        <x:v>gross</x:v>
      </x:c>
      <x:c r="F160" s="79" t="str"/>
    </x:row>
    <x:row r="161">
      <x:c r="A161" s="79" t="str">
        <x:v>corner</x:v>
      </x:c>
      <x:c r="B161" s="79" t="str">
        <x:v>Esquina biaxial</x:v>
      </x:c>
      <x:c r="C161" s="79" t="str">
        <x:v>AXC-BMK-CORNER-001</x:v>
      </x:c>
      <x:c r="D161" s="79" t="str">
        <x:v>removedOverburdenKpa</x:v>
      </x:c>
      <x:c r="E161" s="80" t="n">
        <x:v>0</x:v>
      </x:c>
      <x:c r="F161" s="79" t="str">
        <x:v>kPa</x:v>
      </x:c>
    </x:row>
    <x:row r="162">
      <x:c r="A162" s="79" t="str">
        <x:v>corner</x:v>
      </x:c>
      <x:c r="B162" s="79" t="str">
        <x:v>Esquina biaxial</x:v>
      </x:c>
      <x:c r="C162" s="79" t="str">
        <x:v>AXC-BMK-CORNER-001</x:v>
      </x:c>
      <x:c r="D162" s="79" t="str">
        <x:v>concreteUnitWeightKnM3</x:v>
      </x:c>
      <x:c r="E162" s="80" t="n">
        <x:v>24</x:v>
      </x:c>
      <x:c r="F162" s="79" t="str">
        <x:v>kN/m³</x:v>
      </x:c>
    </x:row>
    <x:row r="163">
      <x:c r="A163" s="79" t="str">
        <x:v>corner</x:v>
      </x:c>
      <x:c r="B163" s="79" t="str">
        <x:v>Esquina biaxial</x:v>
      </x:c>
      <x:c r="C163" s="79" t="str">
        <x:v>AXC-BMK-CORNER-001</x:v>
      </x:c>
      <x:c r="D163" s="79" t="str">
        <x:v>soilCoverDepthM</x:v>
      </x:c>
      <x:c r="E163" s="80" t="n">
        <x:v>0</x:v>
      </x:c>
      <x:c r="F163" s="79" t="str">
        <x:v>m</x:v>
      </x:c>
    </x:row>
    <x:row r="164">
      <x:c r="A164" s="79" t="str">
        <x:v>corner</x:v>
      </x:c>
      <x:c r="B164" s="79" t="str">
        <x:v>Esquina biaxial</x:v>
      </x:c>
      <x:c r="C164" s="79" t="str">
        <x:v>AXC-BMK-CORNER-001</x:v>
      </x:c>
      <x:c r="D164" s="79" t="str">
        <x:v>soilUnitWeightKnM3</x:v>
      </x:c>
      <x:c r="E164" s="80" t="n">
        <x:v>0</x:v>
      </x:c>
      <x:c r="F164" s="79" t="str">
        <x:v>kN/m³</x:v>
      </x:c>
    </x:row>
    <x:row r="165">
      <x:c r="A165" s="79" t="str">
        <x:v>corner</x:v>
      </x:c>
      <x:c r="B165" s="79" t="str">
        <x:v>Esquina biaxial</x:v>
      </x:c>
      <x:c r="C165" s="79" t="str">
        <x:v>AXC-BMK-CORNER-001</x:v>
      </x:c>
      <x:c r="D165" s="79" t="str">
        <x:v>footingWidthM</x:v>
      </x:c>
      <x:c r="E165" s="80" t="n">
        <x:v>0.525</x:v>
      </x:c>
      <x:c r="F165" s="79" t="str">
        <x:v>m</x:v>
      </x:c>
    </x:row>
    <x:row r="166">
      <x:c r="A166" s="79" t="str">
        <x:v>corner</x:v>
      </x:c>
      <x:c r="B166" s="79" t="str">
        <x:v>Esquina biaxial</x:v>
      </x:c>
      <x:c r="C166" s="79" t="str">
        <x:v>AXC-BMK-CORNER-001</x:v>
      </x:c>
      <x:c r="D166" s="79" t="str">
        <x:v>footingLengthM</x:v>
      </x:c>
      <x:c r="E166" s="80" t="n">
        <x:v>0.525</x:v>
      </x:c>
      <x:c r="F166" s="79" t="str">
        <x:v>m</x:v>
      </x:c>
    </x:row>
    <x:row r="167">
      <x:c r="A167" s="79" t="str">
        <x:v>corner</x:v>
      </x:c>
      <x:c r="B167" s="79" t="str">
        <x:v>Esquina biaxial</x:v>
      </x:c>
      <x:c r="C167" s="79" t="str">
        <x:v>AXC-BMK-CORNER-001</x:v>
      </x:c>
      <x:c r="D167" s="79" t="str">
        <x:v>footingThicknessM</x:v>
      </x:c>
      <x:c r="E167" s="80" t="n">
        <x:v>0.5</x:v>
      </x:c>
      <x:c r="F167" s="79" t="str">
        <x:v>m</x:v>
      </x:c>
    </x:row>
    <x:row r="168">
      <x:c r="A168" s="79" t="str">
        <x:v>corner</x:v>
      </x:c>
      <x:c r="B168" s="79" t="str">
        <x:v>Esquina biaxial</x:v>
      </x:c>
      <x:c r="C168" s="79" t="str">
        <x:v>AXC-BMK-CORNER-001</x:v>
      </x:c>
      <x:c r="D168" s="79" t="str">
        <x:v>columnWidthM</x:v>
      </x:c>
      <x:c r="E168" s="80" t="n">
        <x:v>0.45</x:v>
      </x:c>
      <x:c r="F168" s="79" t="str">
        <x:v>m</x:v>
      </x:c>
    </x:row>
    <x:row r="169">
      <x:c r="A169" s="79" t="str">
        <x:v>corner</x:v>
      </x:c>
      <x:c r="B169" s="79" t="str">
        <x:v>Esquina biaxial</x:v>
      </x:c>
      <x:c r="C169" s="79" t="str">
        <x:v>AXC-BMK-CORNER-001</x:v>
      </x:c>
      <x:c r="D169" s="79" t="str">
        <x:v>columnLengthM</x:v>
      </x:c>
      <x:c r="E169" s="80" t="n">
        <x:v>0.45</x:v>
      </x:c>
      <x:c r="F169" s="79" t="str">
        <x:v>m</x:v>
      </x:c>
    </x:row>
    <x:row r="170">
      <x:c r="A170" s="79" t="str">
        <x:v>corner</x:v>
      </x:c>
      <x:c r="B170" s="79" t="str">
        <x:v>Esquina biaxial</x:v>
      </x:c>
      <x:c r="C170" s="79" t="str">
        <x:v>AXC-BMK-CORNER-001</x:v>
      </x:c>
      <x:c r="D170" s="79" t="str">
        <x:v>cornerPosition</x:v>
      </x:c>
      <x:c r="E170" s="80" t="str">
        <x:v>bottom-left</x:v>
      </x:c>
      <x:c r="F170" s="79" t="str"/>
    </x:row>
    <x:row r="171">
      <x:c r="A171" s="79" t="str">
        <x:v>corner</x:v>
      </x:c>
      <x:c r="B171" s="79" t="str">
        <x:v>Esquina biaxial</x:v>
      </x:c>
      <x:c r="C171" s="79" t="str">
        <x:v>AXC-BMK-CORNER-001</x:v>
      </x:c>
      <x:c r="D171" s="79" t="str">
        <x:v>concreteCoverM</x:v>
      </x:c>
      <x:c r="E171" s="80" t="n">
        <x:v>0.075</x:v>
      </x:c>
      <x:c r="F171" s="79" t="str">
        <x:v>m</x:v>
      </x:c>
    </x:row>
    <x:row r="172">
      <x:c r="A172" s="79" t="str">
        <x:v>corner</x:v>
      </x:c>
      <x:c r="B172" s="79" t="str">
        <x:v>Esquina biaxial</x:v>
      </x:c>
      <x:c r="C172" s="79" t="str">
        <x:v>AXC-BMK-CORNER-001</x:v>
      </x:c>
      <x:c r="D172" s="79" t="str">
        <x:v>barDiameterM</x:v>
      </x:c>
      <x:c r="E172" s="80" t="n">
        <x:v>0.016</x:v>
      </x:c>
      <x:c r="F172" s="79" t="str">
        <x:v>m</x:v>
      </x:c>
    </x:row>
    <x:row r="173">
      <x:c r="A173" s="79" t="str">
        <x:v>corner</x:v>
      </x:c>
      <x:c r="B173" s="79" t="str">
        <x:v>Esquina biaxial</x:v>
      </x:c>
      <x:c r="C173" s="79" t="str">
        <x:v>AXC-BMK-CORNER-001</x:v>
      </x:c>
      <x:c r="D173" s="79" t="str">
        <x:v>concreteStrengthMpa</x:v>
      </x:c>
      <x:c r="E173" s="80" t="n">
        <x:v>23.54</x:v>
      </x:c>
      <x:c r="F173" s="79" t="str">
        <x:v>MPa</x:v>
      </x:c>
    </x:row>
    <x:row r="174">
      <x:c r="A174" s="79" t="str">
        <x:v>corner</x:v>
      </x:c>
      <x:c r="B174" s="79" t="str">
        <x:v>Esquina biaxial</x:v>
      </x:c>
      <x:c r="C174" s="79" t="str">
        <x:v>AXC-BMK-CORNER-001</x:v>
      </x:c>
      <x:c r="D174" s="79" t="str">
        <x:v>steelYieldStrengthMpa</x:v>
      </x:c>
      <x:c r="E174" s="80" t="n">
        <x:v>412.08</x:v>
      </x:c>
      <x:c r="F174" s="79" t="str">
        <x:v>MPa</x:v>
      </x:c>
    </x:row>
    <x:row r="175">
      <x:c r="A175" s="79" t="str">
        <x:v>corner</x:v>
      </x:c>
      <x:c r="B175" s="79" t="str">
        <x:v>Esquina biaxial</x:v>
      </x:c>
      <x:c r="C175" s="79" t="str">
        <x:v>AXC-BMK-CORNER-001</x:v>
      </x:c>
      <x:c r="D175" s="79" t="str">
        <x:v>longitudinalBarSpacingM</x:v>
      </x:c>
      <x:c r="E175" s="80" t="n">
        <x:v>0.15</x:v>
      </x:c>
      <x:c r="F175" s="79" t="str">
        <x:v>m</x:v>
      </x:c>
    </x:row>
    <x:row r="176">
      <x:c r="A176" s="79" t="str">
        <x:v>corner</x:v>
      </x:c>
      <x:c r="B176" s="79" t="str">
        <x:v>Esquina biaxial</x:v>
      </x:c>
      <x:c r="C176" s="79" t="str">
        <x:v>AXC-BMK-CORNER-001</x:v>
      </x:c>
      <x:c r="D176" s="79" t="str">
        <x:v>transverseBarSpacingM</x:v>
      </x:c>
      <x:c r="E176" s="80" t="n">
        <x:v>0.15</x:v>
      </x:c>
      <x:c r="F176" s="79" t="str">
        <x:v>m</x:v>
      </x:c>
    </x:row>
    <x:row r="177">
      <x:c r="A177" s="79" t="str">
        <x:v>corner</x:v>
      </x:c>
      <x:c r="B177" s="79" t="str">
        <x:v>Esquina biaxial</x:v>
      </x:c>
      <x:c r="C177" s="79" t="str">
        <x:v>AXC-BMK-CORNER-001</x:v>
      </x:c>
      <x:c r="D177" s="79" t="str">
        <x:v>longitudinalDevelopmentAvailableM</x:v>
      </x:c>
      <x:c r="E177" s="80" t="n">
        <x:v>1.1</x:v>
      </x:c>
      <x:c r="F177" s="79" t="str">
        <x:v>m</x:v>
      </x:c>
    </x:row>
    <x:row r="178">
      <x:c r="A178" s="79" t="str">
        <x:v>corner</x:v>
      </x:c>
      <x:c r="B178" s="79" t="str">
        <x:v>Esquina biaxial</x:v>
      </x:c>
      <x:c r="C178" s="79" t="str">
        <x:v>AXC-BMK-CORNER-001</x:v>
      </x:c>
      <x:c r="D178" s="79" t="str">
        <x:v>transverseDevelopmentAvailableM</x:v>
      </x:c>
      <x:c r="E178" s="80" t="n">
        <x:v>1.1</x:v>
      </x:c>
      <x:c r="F178" s="79" t="str">
        <x:v>m</x:v>
      </x:c>
    </x:row>
    <x:row r="179">
      <x:c r="A179" s="79" t="str">
        <x:v>mat</x:v>
      </x:c>
      <x:c r="B179" s="79" t="str">
        <x:v>Losa de cimentación</x:v>
      </x:c>
      <x:c r="C179" s="79" t="str">
        <x:v>AXC-BMK-MAT-001</x:v>
      </x:c>
      <x:c r="D179" s="79" t="str">
        <x:v>allowableBearingKpa</x:v>
      </x:c>
      <x:c r="E179" s="80" t="n">
        <x:v>150</x:v>
      </x:c>
      <x:c r="F179" s="79" t="str">
        <x:v>kPa</x:v>
      </x:c>
    </x:row>
    <x:row r="180">
      <x:c r="A180" s="79" t="str">
        <x:v>mat</x:v>
      </x:c>
      <x:c r="B180" s="79" t="str">
        <x:v>Losa de cimentación</x:v>
      </x:c>
      <x:c r="C180" s="79" t="str">
        <x:v>AXC-BMK-MAT-001</x:v>
      </x:c>
      <x:c r="D180" s="79" t="str">
        <x:v>bearingCapacityBasis</x:v>
      </x:c>
      <x:c r="E180" s="80" t="str">
        <x:v>gross</x:v>
      </x:c>
      <x:c r="F180" s="79" t="str"/>
    </x:row>
    <x:row r="181">
      <x:c r="A181" s="79" t="str">
        <x:v>mat</x:v>
      </x:c>
      <x:c r="B181" s="79" t="str">
        <x:v>Losa de cimentación</x:v>
      </x:c>
      <x:c r="C181" s="79" t="str">
        <x:v>AXC-BMK-MAT-001</x:v>
      </x:c>
      <x:c r="D181" s="79" t="str">
        <x:v>removedOverburdenKpa</x:v>
      </x:c>
      <x:c r="E181" s="80" t="n">
        <x:v>0</x:v>
      </x:c>
      <x:c r="F181" s="79" t="str">
        <x:v>kPa</x:v>
      </x:c>
    </x:row>
    <x:row r="182">
      <x:c r="A182" s="79" t="str">
        <x:v>mat</x:v>
      </x:c>
      <x:c r="B182" s="79" t="str">
        <x:v>Losa de cimentación</x:v>
      </x:c>
      <x:c r="C182" s="79" t="str">
        <x:v>AXC-BMK-MAT-001</x:v>
      </x:c>
      <x:c r="D182" s="79" t="str">
        <x:v>settlementPressureBasis</x:v>
      </x:c>
      <x:c r="E182" s="80" t="str">
        <x:v>gross</x:v>
      </x:c>
      <x:c r="F182" s="79" t="str"/>
    </x:row>
    <x:row r="183">
      <x:c r="A183" s="79" t="str">
        <x:v>mat</x:v>
      </x:c>
      <x:c r="B183" s="79" t="str">
        <x:v>Losa de cimentación</x:v>
      </x:c>
      <x:c r="C183" s="79" t="str">
        <x:v>AXC-BMK-MAT-001</x:v>
      </x:c>
      <x:c r="D183" s="79" t="str">
        <x:v>subgradeModulusKnM3</x:v>
      </x:c>
      <x:c r="E183" s="80" t="n">
        <x:v>15000</x:v>
      </x:c>
      <x:c r="F183" s="79" t="str">
        <x:v>kN/m³</x:v>
      </x:c>
    </x:row>
    <x:row r="184">
      <x:c r="A184" s="79" t="str">
        <x:v>mat</x:v>
      </x:c>
      <x:c r="B184" s="79" t="str">
        <x:v>Losa de cimentación</x:v>
      </x:c>
      <x:c r="C184" s="79" t="str">
        <x:v>AXC-BMK-MAT-001</x:v>
      </x:c>
      <x:c r="D184" s="79" t="str">
        <x:v>allowableTotalSettlementMm</x:v>
      </x:c>
      <x:c r="E184" s="80" t="n">
        <x:v>25</x:v>
      </x:c>
      <x:c r="F184" s="79" t="str">
        <x:v>mm</x:v>
      </x:c>
    </x:row>
    <x:row r="185">
      <x:c r="A185" s="79" t="str">
        <x:v>mat</x:v>
      </x:c>
      <x:c r="B185" s="79" t="str">
        <x:v>Losa de cimentación</x:v>
      </x:c>
      <x:c r="C185" s="79" t="str">
        <x:v>AXC-BMK-MAT-001</x:v>
      </x:c>
      <x:c r="D185" s="79" t="str">
        <x:v>allowableDifferentialSettlementMm</x:v>
      </x:c>
      <x:c r="E185" s="80" t="n">
        <x:v>12.5</x:v>
      </x:c>
      <x:c r="F185" s="79" t="str">
        <x:v>mm</x:v>
      </x:c>
    </x:row>
    <x:row r="186">
      <x:c r="A186" s="79" t="str">
        <x:v>mat</x:v>
      </x:c>
      <x:c r="B186" s="79" t="str">
        <x:v>Losa de cimentación</x:v>
      </x:c>
      <x:c r="C186" s="79" t="str">
        <x:v>AXC-BMK-MAT-001</x:v>
      </x:c>
      <x:c r="D186" s="79" t="str">
        <x:v>concreteUnitWeightKnM3</x:v>
      </x:c>
      <x:c r="E186" s="80" t="n">
        <x:v>24</x:v>
      </x:c>
      <x:c r="F186" s="79" t="str">
        <x:v>kN/m³</x:v>
      </x:c>
    </x:row>
    <x:row r="187">
      <x:c r="A187" s="79" t="str">
        <x:v>mat</x:v>
      </x:c>
      <x:c r="B187" s="79" t="str">
        <x:v>Losa de cimentación</x:v>
      </x:c>
      <x:c r="C187" s="79" t="str">
        <x:v>AXC-BMK-MAT-001</x:v>
      </x:c>
      <x:c r="D187" s="79" t="str">
        <x:v>soilCoverDepthM</x:v>
      </x:c>
      <x:c r="E187" s="80" t="n">
        <x:v>0</x:v>
      </x:c>
      <x:c r="F187" s="79" t="str">
        <x:v>m</x:v>
      </x:c>
    </x:row>
    <x:row r="188">
      <x:c r="A188" s="79" t="str">
        <x:v>mat</x:v>
      </x:c>
      <x:c r="B188" s="79" t="str">
        <x:v>Losa de cimentación</x:v>
      </x:c>
      <x:c r="C188" s="79" t="str">
        <x:v>AXC-BMK-MAT-001</x:v>
      </x:c>
      <x:c r="D188" s="79" t="str">
        <x:v>soilUnitWeightKnM3</x:v>
      </x:c>
      <x:c r="E188" s="80" t="n">
        <x:v>0</x:v>
      </x:c>
      <x:c r="F188" s="79" t="str">
        <x:v>kN/m³</x:v>
      </x:c>
    </x:row>
    <x:row r="189">
      <x:c r="A189" s="79" t="str">
        <x:v>mat</x:v>
      </x:c>
      <x:c r="B189" s="79" t="str">
        <x:v>Losa de cimentación</x:v>
      </x:c>
      <x:c r="C189" s="79" t="str">
        <x:v>AXC-BMK-MAT-001</x:v>
      </x:c>
      <x:c r="D189" s="79" t="str">
        <x:v>footingWidthM</x:v>
      </x:c>
      <x:c r="E189" s="80" t="n">
        <x:v>6</x:v>
      </x:c>
      <x:c r="F189" s="79" t="str">
        <x:v>m</x:v>
      </x:c>
    </x:row>
    <x:row r="190">
      <x:c r="A190" s="79" t="str">
        <x:v>mat</x:v>
      </x:c>
      <x:c r="B190" s="79" t="str">
        <x:v>Losa de cimentación</x:v>
      </x:c>
      <x:c r="C190" s="79" t="str">
        <x:v>AXC-BMK-MAT-001</x:v>
      </x:c>
      <x:c r="D190" s="79" t="str">
        <x:v>footingLengthM</x:v>
      </x:c>
      <x:c r="E190" s="80" t="n">
        <x:v>8</x:v>
      </x:c>
      <x:c r="F190" s="79" t="str">
        <x:v>m</x:v>
      </x:c>
    </x:row>
    <x:row r="191">
      <x:c r="A191" s="79" t="str">
        <x:v>mat</x:v>
      </x:c>
      <x:c r="B191" s="79" t="str">
        <x:v>Losa de cimentación</x:v>
      </x:c>
      <x:c r="C191" s="79" t="str">
        <x:v>AXC-BMK-MAT-001</x:v>
      </x:c>
      <x:c r="D191" s="79" t="str">
        <x:v>footingThicknessM</x:v>
      </x:c>
      <x:c r="E191" s="80" t="n">
        <x:v>0.7</x:v>
      </x:c>
      <x:c r="F191" s="79" t="str">
        <x:v>m</x:v>
      </x:c>
    </x:row>
    <x:row r="192">
      <x:c r="A192" s="79" t="str">
        <x:v>mat</x:v>
      </x:c>
      <x:c r="B192" s="79" t="str">
        <x:v>Losa de cimentación</x:v>
      </x:c>
      <x:c r="C192" s="79" t="str">
        <x:v>AXC-BMK-MAT-001</x:v>
      </x:c>
      <x:c r="D192" s="79" t="str">
        <x:v>columns[0].id</x:v>
      </x:c>
      <x:c r="E192" s="80" t="str">
        <x:v>C1</x:v>
      </x:c>
      <x:c r="F192" s="79" t="str"/>
    </x:row>
    <x:row r="193">
      <x:c r="A193" s="79" t="str">
        <x:v>mat</x:v>
      </x:c>
      <x:c r="B193" s="79" t="str">
        <x:v>Losa de cimentación</x:v>
      </x:c>
      <x:c r="C193" s="79" t="str">
        <x:v>AXC-BMK-MAT-001</x:v>
      </x:c>
      <x:c r="D193" s="79" t="str">
        <x:v>columns[0].label</x:v>
      </x:c>
      <x:c r="E193" s="80" t="str">
        <x:v>Columna 1</x:v>
      </x:c>
      <x:c r="F193" s="79" t="str"/>
    </x:row>
    <x:row r="194">
      <x:c r="A194" s="79" t="str">
        <x:v>mat</x:v>
      </x:c>
      <x:c r="B194" s="79" t="str">
        <x:v>Losa de cimentación</x:v>
      </x:c>
      <x:c r="C194" s="79" t="str">
        <x:v>AXC-BMK-MAT-001</x:v>
      </x:c>
      <x:c r="D194" s="79" t="str">
        <x:v>columns[0].serviceLoadKn</x:v>
      </x:c>
      <x:c r="E194" s="80" t="n">
        <x:v>600</x:v>
      </x:c>
      <x:c r="F194" s="79" t="str">
        <x:v>kN</x:v>
      </x:c>
    </x:row>
    <x:row r="195">
      <x:c r="A195" s="79" t="str">
        <x:v>mat</x:v>
      </x:c>
      <x:c r="B195" s="79" t="str">
        <x:v>Losa de cimentación</x:v>
      </x:c>
      <x:c r="C195" s="79" t="str">
        <x:v>AXC-BMK-MAT-001</x:v>
      </x:c>
      <x:c r="D195" s="79" t="str">
        <x:v>columns[0].factoredLoadKn</x:v>
      </x:c>
      <x:c r="E195" s="80" t="n">
        <x:v>900</x:v>
      </x:c>
      <x:c r="F195" s="79" t="str">
        <x:v>kN</x:v>
      </x:c>
    </x:row>
    <x:row r="196">
      <x:c r="A196" s="79" t="str">
        <x:v>mat</x:v>
      </x:c>
      <x:c r="B196" s="79" t="str">
        <x:v>Losa de cimentación</x:v>
      </x:c>
      <x:c r="C196" s="79" t="str">
        <x:v>AXC-BMK-MAT-001</x:v>
      </x:c>
      <x:c r="D196" s="79" t="str">
        <x:v>columns[0].widthM</x:v>
      </x:c>
      <x:c r="E196" s="80" t="n">
        <x:v>0.5</x:v>
      </x:c>
      <x:c r="F196" s="79" t="str">
        <x:v>m</x:v>
      </x:c>
    </x:row>
    <x:row r="197">
      <x:c r="A197" s="79" t="str">
        <x:v>mat</x:v>
      </x:c>
      <x:c r="B197" s="79" t="str">
        <x:v>Losa de cimentación</x:v>
      </x:c>
      <x:c r="C197" s="79" t="str">
        <x:v>AXC-BMK-MAT-001</x:v>
      </x:c>
      <x:c r="D197" s="79" t="str">
        <x:v>columns[0].lengthM</x:v>
      </x:c>
      <x:c r="E197" s="80" t="n">
        <x:v>0.5</x:v>
      </x:c>
      <x:c r="F197" s="79" t="str">
        <x:v>m</x:v>
      </x:c>
    </x:row>
    <x:row r="198">
      <x:c r="A198" s="79" t="str">
        <x:v>mat</x:v>
      </x:c>
      <x:c r="B198" s="79" t="str">
        <x:v>Losa de cimentación</x:v>
      </x:c>
      <x:c r="C198" s="79" t="str">
        <x:v>AXC-BMK-MAT-001</x:v>
      </x:c>
      <x:c r="D198" s="79" t="str">
        <x:v>columns[0].centerXM</x:v>
      </x:c>
      <x:c r="E198" s="80" t="n">
        <x:v>2</x:v>
      </x:c>
      <x:c r="F198" s="79" t="str">
        <x:v>m</x:v>
      </x:c>
    </x:row>
    <x:row r="199">
      <x:c r="A199" s="79" t="str">
        <x:v>mat</x:v>
      </x:c>
      <x:c r="B199" s="79" t="str">
        <x:v>Losa de cimentación</x:v>
      </x:c>
      <x:c r="C199" s="79" t="str">
        <x:v>AXC-BMK-MAT-001</x:v>
      </x:c>
      <x:c r="D199" s="79" t="str">
        <x:v>columns[0].centerYM</x:v>
      </x:c>
      <x:c r="E199" s="80" t="n">
        <x:v>1.5</x:v>
      </x:c>
      <x:c r="F199" s="79" t="str">
        <x:v>m</x:v>
      </x:c>
    </x:row>
    <x:row r="200">
      <x:c r="A200" s="79" t="str">
        <x:v>mat</x:v>
      </x:c>
      <x:c r="B200" s="79" t="str">
        <x:v>Losa de cimentación</x:v>
      </x:c>
      <x:c r="C200" s="79" t="str">
        <x:v>AXC-BMK-MAT-001</x:v>
      </x:c>
      <x:c r="D200" s="79" t="str">
        <x:v>columns[1].id</x:v>
      </x:c>
      <x:c r="E200" s="80" t="str">
        <x:v>C2</x:v>
      </x:c>
      <x:c r="F200" s="79" t="str"/>
    </x:row>
    <x:row r="201">
      <x:c r="A201" s="79" t="str">
        <x:v>mat</x:v>
      </x:c>
      <x:c r="B201" s="79" t="str">
        <x:v>Losa de cimentación</x:v>
      </x:c>
      <x:c r="C201" s="79" t="str">
        <x:v>AXC-BMK-MAT-001</x:v>
      </x:c>
      <x:c r="D201" s="79" t="str">
        <x:v>columns[1].label</x:v>
      </x:c>
      <x:c r="E201" s="80" t="str">
        <x:v>Columna 2</x:v>
      </x:c>
      <x:c r="F201" s="79" t="str"/>
    </x:row>
    <x:row r="202">
      <x:c r="A202" s="79" t="str">
        <x:v>mat</x:v>
      </x:c>
      <x:c r="B202" s="79" t="str">
        <x:v>Losa de cimentación</x:v>
      </x:c>
      <x:c r="C202" s="79" t="str">
        <x:v>AXC-BMK-MAT-001</x:v>
      </x:c>
      <x:c r="D202" s="79" t="str">
        <x:v>columns[1].serviceLoadKn</x:v>
      </x:c>
      <x:c r="E202" s="80" t="n">
        <x:v>800</x:v>
      </x:c>
      <x:c r="F202" s="79" t="str">
        <x:v>kN</x:v>
      </x:c>
    </x:row>
    <x:row r="203">
      <x:c r="A203" s="79" t="str">
        <x:v>mat</x:v>
      </x:c>
      <x:c r="B203" s="79" t="str">
        <x:v>Losa de cimentación</x:v>
      </x:c>
      <x:c r="C203" s="79" t="str">
        <x:v>AXC-BMK-MAT-001</x:v>
      </x:c>
      <x:c r="D203" s="79" t="str">
        <x:v>columns[1].factoredLoadKn</x:v>
      </x:c>
      <x:c r="E203" s="80" t="n">
        <x:v>1200</x:v>
      </x:c>
      <x:c r="F203" s="79" t="str">
        <x:v>kN</x:v>
      </x:c>
    </x:row>
    <x:row r="204">
      <x:c r="A204" s="79" t="str">
        <x:v>mat</x:v>
      </x:c>
      <x:c r="B204" s="79" t="str">
        <x:v>Losa de cimentación</x:v>
      </x:c>
      <x:c r="C204" s="79" t="str">
        <x:v>AXC-BMK-MAT-001</x:v>
      </x:c>
      <x:c r="D204" s="79" t="str">
        <x:v>columns[1].widthM</x:v>
      </x:c>
      <x:c r="E204" s="80" t="n">
        <x:v>0.5</x:v>
      </x:c>
      <x:c r="F204" s="79" t="str">
        <x:v>m</x:v>
      </x:c>
    </x:row>
    <x:row r="205">
      <x:c r="A205" s="79" t="str">
        <x:v>mat</x:v>
      </x:c>
      <x:c r="B205" s="79" t="str">
        <x:v>Losa de cimentación</x:v>
      </x:c>
      <x:c r="C205" s="79" t="str">
        <x:v>AXC-BMK-MAT-001</x:v>
      </x:c>
      <x:c r="D205" s="79" t="str">
        <x:v>columns[1].lengthM</x:v>
      </x:c>
      <x:c r="E205" s="80" t="n">
        <x:v>0.5</x:v>
      </x:c>
      <x:c r="F205" s="79" t="str">
        <x:v>m</x:v>
      </x:c>
    </x:row>
    <x:row r="206">
      <x:c r="A206" s="79" t="str">
        <x:v>mat</x:v>
      </x:c>
      <x:c r="B206" s="79" t="str">
        <x:v>Losa de cimentación</x:v>
      </x:c>
      <x:c r="C206" s="79" t="str">
        <x:v>AXC-BMK-MAT-001</x:v>
      </x:c>
      <x:c r="D206" s="79" t="str">
        <x:v>columns[1].centerXM</x:v>
      </x:c>
      <x:c r="E206" s="80" t="n">
        <x:v>6</x:v>
      </x:c>
      <x:c r="F206" s="79" t="str">
        <x:v>m</x:v>
      </x:c>
    </x:row>
    <x:row r="207">
      <x:c r="A207" s="79" t="str">
        <x:v>mat</x:v>
      </x:c>
      <x:c r="B207" s="79" t="str">
        <x:v>Losa de cimentación</x:v>
      </x:c>
      <x:c r="C207" s="79" t="str">
        <x:v>AXC-BMK-MAT-001</x:v>
      </x:c>
      <x:c r="D207" s="79" t="str">
        <x:v>columns[1].centerYM</x:v>
      </x:c>
      <x:c r="E207" s="80" t="n">
        <x:v>1.5</x:v>
      </x:c>
      <x:c r="F207" s="79" t="str">
        <x:v>m</x:v>
      </x:c>
    </x:row>
    <x:row r="208">
      <x:c r="A208" s="79" t="str">
        <x:v>mat</x:v>
      </x:c>
      <x:c r="B208" s="79" t="str">
        <x:v>Losa de cimentación</x:v>
      </x:c>
      <x:c r="C208" s="79" t="str">
        <x:v>AXC-BMK-MAT-001</x:v>
      </x:c>
      <x:c r="D208" s="79" t="str">
        <x:v>columns[2].id</x:v>
      </x:c>
      <x:c r="E208" s="80" t="str">
        <x:v>C3</x:v>
      </x:c>
      <x:c r="F208" s="79" t="str"/>
    </x:row>
    <x:row r="209">
      <x:c r="A209" s="79" t="str">
        <x:v>mat</x:v>
      </x:c>
      <x:c r="B209" s="79" t="str">
        <x:v>Losa de cimentación</x:v>
      </x:c>
      <x:c r="C209" s="79" t="str">
        <x:v>AXC-BMK-MAT-001</x:v>
      </x:c>
      <x:c r="D209" s="79" t="str">
        <x:v>columns[2].label</x:v>
      </x:c>
      <x:c r="E209" s="80" t="str">
        <x:v>Columna 3</x:v>
      </x:c>
      <x:c r="F209" s="79" t="str"/>
    </x:row>
    <x:row r="210">
      <x:c r="A210" s="79" t="str">
        <x:v>mat</x:v>
      </x:c>
      <x:c r="B210" s="79" t="str">
        <x:v>Losa de cimentación</x:v>
      </x:c>
      <x:c r="C210" s="79" t="str">
        <x:v>AXC-BMK-MAT-001</x:v>
      </x:c>
      <x:c r="D210" s="79" t="str">
        <x:v>columns[2].serviceLoadKn</x:v>
      </x:c>
      <x:c r="E210" s="80" t="n">
        <x:v>700</x:v>
      </x:c>
      <x:c r="F210" s="79" t="str">
        <x:v>kN</x:v>
      </x:c>
    </x:row>
    <x:row r="211">
      <x:c r="A211" s="79" t="str">
        <x:v>mat</x:v>
      </x:c>
      <x:c r="B211" s="79" t="str">
        <x:v>Losa de cimentación</x:v>
      </x:c>
      <x:c r="C211" s="79" t="str">
        <x:v>AXC-BMK-MAT-001</x:v>
      </x:c>
      <x:c r="D211" s="79" t="str">
        <x:v>columns[2].factoredLoadKn</x:v>
      </x:c>
      <x:c r="E211" s="80" t="n">
        <x:v>1050</x:v>
      </x:c>
      <x:c r="F211" s="79" t="str">
        <x:v>kN</x:v>
      </x:c>
    </x:row>
    <x:row r="212">
      <x:c r="A212" s="79" t="str">
        <x:v>mat</x:v>
      </x:c>
      <x:c r="B212" s="79" t="str">
        <x:v>Losa de cimentación</x:v>
      </x:c>
      <x:c r="C212" s="79" t="str">
        <x:v>AXC-BMK-MAT-001</x:v>
      </x:c>
      <x:c r="D212" s="79" t="str">
        <x:v>columns[2].widthM</x:v>
      </x:c>
      <x:c r="E212" s="80" t="n">
        <x:v>0.5</x:v>
      </x:c>
      <x:c r="F212" s="79" t="str">
        <x:v>m</x:v>
      </x:c>
    </x:row>
    <x:row r="213">
      <x:c r="A213" s="79" t="str">
        <x:v>mat</x:v>
      </x:c>
      <x:c r="B213" s="79" t="str">
        <x:v>Losa de cimentación</x:v>
      </x:c>
      <x:c r="C213" s="79" t="str">
        <x:v>AXC-BMK-MAT-001</x:v>
      </x:c>
      <x:c r="D213" s="79" t="str">
        <x:v>columns[2].lengthM</x:v>
      </x:c>
      <x:c r="E213" s="80" t="n">
        <x:v>0.5</x:v>
      </x:c>
      <x:c r="F213" s="79" t="str">
        <x:v>m</x:v>
      </x:c>
    </x:row>
    <x:row r="214">
      <x:c r="A214" s="79" t="str">
        <x:v>mat</x:v>
      </x:c>
      <x:c r="B214" s="79" t="str">
        <x:v>Losa de cimentación</x:v>
      </x:c>
      <x:c r="C214" s="79" t="str">
        <x:v>AXC-BMK-MAT-001</x:v>
      </x:c>
      <x:c r="D214" s="79" t="str">
        <x:v>columns[2].centerXM</x:v>
      </x:c>
      <x:c r="E214" s="80" t="n">
        <x:v>2</x:v>
      </x:c>
      <x:c r="F214" s="79" t="str">
        <x:v>m</x:v>
      </x:c>
    </x:row>
    <x:row r="215">
      <x:c r="A215" s="79" t="str">
        <x:v>mat</x:v>
      </x:c>
      <x:c r="B215" s="79" t="str">
        <x:v>Losa de cimentación</x:v>
      </x:c>
      <x:c r="C215" s="79" t="str">
        <x:v>AXC-BMK-MAT-001</x:v>
      </x:c>
      <x:c r="D215" s="79" t="str">
        <x:v>columns[2].centerYM</x:v>
      </x:c>
      <x:c r="E215" s="80" t="n">
        <x:v>4.5</x:v>
      </x:c>
      <x:c r="F215" s="79" t="str">
        <x:v>m</x:v>
      </x:c>
    </x:row>
    <x:row r="216">
      <x:c r="A216" s="79" t="str">
        <x:v>mat</x:v>
      </x:c>
      <x:c r="B216" s="79" t="str">
        <x:v>Losa de cimentación</x:v>
      </x:c>
      <x:c r="C216" s="79" t="str">
        <x:v>AXC-BMK-MAT-001</x:v>
      </x:c>
      <x:c r="D216" s="79" t="str">
        <x:v>columns[3].id</x:v>
      </x:c>
      <x:c r="E216" s="80" t="str">
        <x:v>C4</x:v>
      </x:c>
      <x:c r="F216" s="79" t="str"/>
    </x:row>
    <x:row r="217">
      <x:c r="A217" s="79" t="str">
        <x:v>mat</x:v>
      </x:c>
      <x:c r="B217" s="79" t="str">
        <x:v>Losa de cimentación</x:v>
      </x:c>
      <x:c r="C217" s="79" t="str">
        <x:v>AXC-BMK-MAT-001</x:v>
      </x:c>
      <x:c r="D217" s="79" t="str">
        <x:v>columns[3].label</x:v>
      </x:c>
      <x:c r="E217" s="80" t="str">
        <x:v>Columna 4</x:v>
      </x:c>
      <x:c r="F217" s="79" t="str"/>
    </x:row>
    <x:row r="218">
      <x:c r="A218" s="79" t="str">
        <x:v>mat</x:v>
      </x:c>
      <x:c r="B218" s="79" t="str">
        <x:v>Losa de cimentación</x:v>
      </x:c>
      <x:c r="C218" s="79" t="str">
        <x:v>AXC-BMK-MAT-001</x:v>
      </x:c>
      <x:c r="D218" s="79" t="str">
        <x:v>columns[3].serviceLoadKn</x:v>
      </x:c>
      <x:c r="E218" s="80" t="n">
        <x:v>900</x:v>
      </x:c>
      <x:c r="F218" s="79" t="str">
        <x:v>kN</x:v>
      </x:c>
    </x:row>
    <x:row r="219">
      <x:c r="A219" s="79" t="str">
        <x:v>mat</x:v>
      </x:c>
      <x:c r="B219" s="79" t="str">
        <x:v>Losa de cimentación</x:v>
      </x:c>
      <x:c r="C219" s="79" t="str">
        <x:v>AXC-BMK-MAT-001</x:v>
      </x:c>
      <x:c r="D219" s="79" t="str">
        <x:v>columns[3].factoredLoadKn</x:v>
      </x:c>
      <x:c r="E219" s="80" t="n">
        <x:v>1350</x:v>
      </x:c>
      <x:c r="F219" s="79" t="str">
        <x:v>kN</x:v>
      </x:c>
    </x:row>
    <x:row r="220">
      <x:c r="A220" s="79" t="str">
        <x:v>mat</x:v>
      </x:c>
      <x:c r="B220" s="79" t="str">
        <x:v>Losa de cimentación</x:v>
      </x:c>
      <x:c r="C220" s="79" t="str">
        <x:v>AXC-BMK-MAT-001</x:v>
      </x:c>
      <x:c r="D220" s="79" t="str">
        <x:v>columns[3].widthM</x:v>
      </x:c>
      <x:c r="E220" s="80" t="n">
        <x:v>0.5</x:v>
      </x:c>
      <x:c r="F220" s="79" t="str">
        <x:v>m</x:v>
      </x:c>
    </x:row>
    <x:row r="221">
      <x:c r="A221" s="79" t="str">
        <x:v>mat</x:v>
      </x:c>
      <x:c r="B221" s="79" t="str">
        <x:v>Losa de cimentación</x:v>
      </x:c>
      <x:c r="C221" s="79" t="str">
        <x:v>AXC-BMK-MAT-001</x:v>
      </x:c>
      <x:c r="D221" s="79" t="str">
        <x:v>columns[3].lengthM</x:v>
      </x:c>
      <x:c r="E221" s="80" t="n">
        <x:v>0.5</x:v>
      </x:c>
      <x:c r="F221" s="79" t="str">
        <x:v>m</x:v>
      </x:c>
    </x:row>
    <x:row r="222">
      <x:c r="A222" s="79" t="str">
        <x:v>mat</x:v>
      </x:c>
      <x:c r="B222" s="79" t="str">
        <x:v>Losa de cimentación</x:v>
      </x:c>
      <x:c r="C222" s="79" t="str">
        <x:v>AXC-BMK-MAT-001</x:v>
      </x:c>
      <x:c r="D222" s="79" t="str">
        <x:v>columns[3].centerXM</x:v>
      </x:c>
      <x:c r="E222" s="80" t="n">
        <x:v>6</x:v>
      </x:c>
      <x:c r="F222" s="79" t="str">
        <x:v>m</x:v>
      </x:c>
    </x:row>
    <x:row r="223">
      <x:c r="A223" s="81" t="str">
        <x:v>mat</x:v>
      </x:c>
      <x:c r="B223" s="81" t="str">
        <x:v>Losa de cimentación</x:v>
      </x:c>
      <x:c r="C223" s="81" t="str">
        <x:v>AXC-BMK-MAT-001</x:v>
      </x:c>
      <x:c r="D223" s="81" t="str">
        <x:v>columns[3].centerYM</x:v>
      </x:c>
      <x:c r="E223" s="82" t="n">
        <x:v>4.5</x:v>
      </x:c>
      <x:c r="F223" s="81" t="str">
        <x:v>m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9ab4ce3245c48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6" hidden="0" customWidth="1"/>
    <x:col min="3" max="3" width="27" hidden="0" customWidth="1"/>
    <x:col min="4" max="4" width="27" hidden="0" customWidth="1"/>
    <x:col min="5" max="5" width="35" hidden="0" customWidth="1"/>
    <x:col min="6" max="6" width="40" hidden="0" customWidth="1"/>
    <x:col min="7" max="7" width="15" hidden="0" customWidth="1"/>
    <x:col min="8" max="8" width="13" hidden="0" customWidth="1"/>
    <x:col min="9" max="9" width="15" hidden="0" customWidth="1"/>
    <x:col min="10" max="10" width="14" hidden="0" customWidth="1"/>
    <x:col min="11" max="11" width="29" hidden="0" customWidth="1"/>
    <x:col min="12" max="12" width="34" hidden="0" customWidth="1"/>
  </x:cols>
  <x:sheetData>
    <x:row r="1" ht="34" customHeight="1">
      <x:c r="A1" s="33" t="str">
        <x:v>Métricas internas y tolerancias previas</x:v>
      </x:c>
      <x:c r="B1" s="33" t="str">
        <x:v>Métricas internas y tolerancias previas</x:v>
      </x:c>
      <x:c r="C1" s="33" t="str">
        <x:v>Métricas internas y tolerancias previas</x:v>
      </x:c>
      <x:c r="D1" s="33" t="str">
        <x:v>Métricas internas y tolerancias previas</x:v>
      </x:c>
      <x:c r="E1" s="33" t="str">
        <x:v>Métricas internas y tolerancias previas</x:v>
      </x:c>
      <x:c r="F1" s="33" t="str">
        <x:v>Métricas internas y tolerancias previas</x:v>
      </x:c>
      <x:c r="G1" s="33" t="str">
        <x:v>Métricas internas y tolerancias previas</x:v>
      </x:c>
      <x:c r="H1" s="33" t="str">
        <x:v>Métricas internas y tolerancias previas</x:v>
      </x:c>
      <x:c r="I1" s="33" t="str">
        <x:v>Métricas internas y tolerancias previas</x:v>
      </x:c>
      <x:c r="J1" s="33" t="str">
        <x:v>Métricas internas y tolerancias previas</x:v>
      </x:c>
      <x:c r="K1" s="33" t="str">
        <x:v>Métricas internas y tolerancias previas</x:v>
      </x:c>
      <x:c r="L1" s="33" t="str">
        <x:v>Métricas internas y tolerancias previas</x:v>
      </x:c>
    </x:row>
    <x:row r="2" ht="32" customHeight="1">
      <x:c r="A2" s="26" t="str">
        <x:v>Resultados generados por el motor actual. Son la referencia de comparación de AndeLogic, no evidencia externa ni aprobación normativa.</x:v>
      </x:c>
      <x:c r="B2" s="26" t="str">
        <x:v>Resultados generados por el motor actual. Son la referencia de comparación de AndeLogic, no evidencia externa ni aprobación normativa.</x:v>
      </x:c>
      <x:c r="C2" s="26" t="str">
        <x:v>Resultados generados por el motor actual. Son la referencia de comparación de AndeLogic, no evidencia externa ni aprobación normativa.</x:v>
      </x:c>
      <x:c r="D2" s="26" t="str">
        <x:v>Resultados generados por el motor actual. Son la referencia de comparación de AndeLogic, no evidencia externa ni aprobación normativa.</x:v>
      </x:c>
      <x:c r="E2" s="26" t="str">
        <x:v>Resultados generados por el motor actual. Son la referencia de comparación de AndeLogic, no evidencia externa ni aprobación normativa.</x:v>
      </x:c>
      <x:c r="F2" s="26" t="str">
        <x:v>Resultados generados por el motor actual. Son la referencia de comparación de AndeLogic, no evidencia externa ni aprobación normativa.</x:v>
      </x:c>
      <x:c r="G2" s="26" t="str">
        <x:v>Resultados generados por el motor actual. Son la referencia de comparación de AndeLogic, no evidencia externa ni aprobación normativa.</x:v>
      </x:c>
      <x:c r="H2" s="26" t="str">
        <x:v>Resultados generados por el motor actual. Son la referencia de comparación de AndeLogic, no evidencia externa ni aprobación normativa.</x:v>
      </x:c>
      <x:c r="I2" s="26" t="str">
        <x:v>Resultados generados por el motor actual. Son la referencia de comparación de AndeLogic, no evidencia externa ni aprobación normativa.</x:v>
      </x:c>
      <x:c r="J2" s="26" t="str">
        <x:v>Resultados generados por el motor actual. Son la referencia de comparación de AndeLogic, no evidencia externa ni aprobación normativa.</x:v>
      </x:c>
      <x:c r="K2" s="26" t="str">
        <x:v>Resultados generados por el motor actual. Son la referencia de comparación de AndeLogic, no evidencia externa ni aprobación normativa.</x:v>
      </x:c>
      <x:c r="L2" s="26" t="str">
        <x:v>Resultados generados por el motor actual. Son la referencia de comparación de AndeLogic, no evidencia externa ni aprobación normativa.</x:v>
      </x:c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</x:row>
    <x:row r="4" ht="30" customHeight="1">
      <x:c r="A4" s="29" t="str">
        <x:v>Clave</x:v>
      </x:c>
      <x:c r="B4" s="54" t="str">
        <x:v>Tipo</x:v>
      </x:c>
      <x:c r="C4" s="54" t="str">
        <x:v>Familia</x:v>
      </x:c>
      <x:c r="D4" s="54" t="str">
        <x:v>Caso</x:v>
      </x:c>
      <x:c r="E4" s="54" t="str">
        <x:v>Métrica</x:v>
      </x:c>
      <x:c r="F4" s="54" t="str">
        <x:v>Descripción</x:v>
      </x:c>
      <x:c r="G4" s="54" t="str">
        <x:v>AndeLogic</x:v>
      </x:c>
      <x:c r="H4" s="54" t="str">
        <x:v>Unidad</x:v>
      </x:c>
      <x:c r="I4" s="54" t="str">
        <x:v>Tol. absoluta</x:v>
      </x:c>
      <x:c r="J4" s="54" t="str">
        <x:v>Tol. relativa</x:v>
      </x:c>
      <x:c r="K4" s="54" t="str">
        <x:v>Perfil</x:v>
      </x:c>
      <x:c r="L4" s="30" t="str">
        <x:v>Firma de hipótesis</x:v>
      </x:c>
    </x:row>
    <x:row r="5">
      <x:c r="A5" s="77" t="str">
        <x:v>AXC-BMK-ISO-001|contact.gross-pressure</x:v>
      </x:c>
      <x:c r="B5" s="77" t="str">
        <x:v>isolated</x:v>
      </x:c>
      <x:c r="C5" s="77" t="str">
        <x:v>Zapata aislada</x:v>
      </x:c>
      <x:c r="D5" s="77" t="str">
        <x:v>AXC-BMK-ISO-001</x:v>
      </x:c>
      <x:c r="E5" s="77" t="str">
        <x:v>contact.gross-pressure</x:v>
      </x:c>
      <x:c r="F5" s="77" t="str">
        <x:v>Presión bruta de servicio</x:v>
      </x:c>
      <x:c r="G5" s="78" t="n">
        <x:v>87</x:v>
      </x:c>
      <x:c r="H5" s="77" t="str">
        <x:v>kPa</x:v>
      </x:c>
      <x:c r="I5" s="78" t="n">
        <x:v>0.1</x:v>
      </x:c>
      <x:c r="J5" s="87" t="n">
        <x:v>0.005</x:v>
      </x:c>
      <x:c r="K5" s="77" t="str">
        <x:v>NEC-2015-GUIDE-TRACEABLE</x:v>
      </x:c>
      <x:c r="L5" s="77" t="str">
        <x:v>AXC-ISO-ASSUMPTIONS-001</x:v>
      </x:c>
    </x:row>
    <x:row r="6">
      <x:c r="A6" s="79" t="str">
        <x:v>AXC-BMK-ISO-001|one-way.governing-demand</x:v>
      </x:c>
      <x:c r="B6" s="79" t="str">
        <x:v>isolated</x:v>
      </x:c>
      <x:c r="C6" s="79" t="str">
        <x:v>Zapata aislada</x:v>
      </x:c>
      <x:c r="D6" s="79" t="str">
        <x:v>AXC-BMK-ISO-001</x:v>
      </x:c>
      <x:c r="E6" s="79" t="str">
        <x:v>one-way.governing-demand</x:v>
      </x:c>
      <x:c r="F6" s="79" t="str">
        <x:v>Cortante unidireccional gobernante</x:v>
      </x:c>
      <x:c r="G6" s="80" t="n">
        <x:v>234.89999999999998</x:v>
      </x:c>
      <x:c r="H6" s="79" t="str">
        <x:v>kN</x:v>
      </x:c>
      <x:c r="I6" s="80" t="n">
        <x:v>0.1</x:v>
      </x:c>
      <x:c r="J6" s="88" t="n">
        <x:v>0.005</x:v>
      </x:c>
      <x:c r="K6" s="79" t="str">
        <x:v>NEC-2015-GUIDE-TRACEABLE</x:v>
      </x:c>
      <x:c r="L6" s="79" t="str">
        <x:v>AXC-ISO-ASSUMPTIONS-001</x:v>
      </x:c>
    </x:row>
    <x:row r="7">
      <x:c r="A7" s="79" t="str">
        <x:v>AXC-BMK-ISO-001|flexure.governing-demand</x:v>
      </x:c>
      <x:c r="B7" s="79" t="str">
        <x:v>isolated</x:v>
      </x:c>
      <x:c r="C7" s="79" t="str">
        <x:v>Zapata aislada</x:v>
      </x:c>
      <x:c r="D7" s="79" t="str">
        <x:v>AXC-BMK-ISO-001</x:v>
      </x:c>
      <x:c r="E7" s="79" t="str">
        <x:v>flexure.governing-demand</x:v>
      </x:c>
      <x:c r="F7" s="79" t="str">
        <x:v>Momento flector gobernante</x:v>
      </x:c>
      <x:c r="G7" s="80" t="n">
        <x:v>216</x:v>
      </x:c>
      <x:c r="H7" s="79" t="str">
        <x:v>kN·m</x:v>
      </x:c>
      <x:c r="I7" s="80" t="n">
        <x:v>0.1</x:v>
      </x:c>
      <x:c r="J7" s="88" t="n">
        <x:v>0.005</x:v>
      </x:c>
      <x:c r="K7" s="79" t="str">
        <x:v>NEC-2015-GUIDE-TRACEABLE</x:v>
      </x:c>
      <x:c r="L7" s="79" t="str">
        <x:v>AXC-ISO-ASSUMPTIONS-001</x:v>
      </x:c>
    </x:row>
    <x:row r="8">
      <x:c r="A8" s="79" t="str">
        <x:v>AXC-BMK-STRIP-001|contact.gross-pressure</x:v>
      </x:c>
      <x:c r="B8" s="79" t="str">
        <x:v>strip</x:v>
      </x:c>
      <x:c r="C8" s="79" t="str">
        <x:v>Zapata corrida</x:v>
      </x:c>
      <x:c r="D8" s="79" t="str">
        <x:v>AXC-BMK-STRIP-001</x:v>
      </x:c>
      <x:c r="E8" s="79" t="str">
        <x:v>contact.gross-pressure</x:v>
      </x:c>
      <x:c r="F8" s="79" t="str">
        <x:v>Presión bruta de servicio</x:v>
      </x:c>
      <x:c r="G8" s="80" t="n">
        <x:v>158.4</x:v>
      </x:c>
      <x:c r="H8" s="79" t="str">
        <x:v>kPa</x:v>
      </x:c>
      <x:c r="I8" s="80" t="n">
        <x:v>0.1</x:v>
      </x:c>
      <x:c r="J8" s="88" t="n">
        <x:v>0.005</x:v>
      </x:c>
      <x:c r="K8" s="79" t="str">
        <x:v>NEC-2015-GUIDE-TRACEABLE</x:v>
      </x:c>
      <x:c r="L8" s="79" t="str">
        <x:v>AXC-STRIP-ASSUMPTIONS-001</x:v>
      </x:c>
    </x:row>
    <x:row r="9">
      <x:c r="A9" s="79" t="str">
        <x:v>AXC-BMK-STRIP-001|one-way.demand</x:v>
      </x:c>
      <x:c r="B9" s="79" t="str">
        <x:v>strip</x:v>
      </x:c>
      <x:c r="C9" s="79" t="str">
        <x:v>Zapata corrida</x:v>
      </x:c>
      <x:c r="D9" s="79" t="str">
        <x:v>AXC-BMK-STRIP-001</x:v>
      </x:c>
      <x:c r="E9" s="79" t="str">
        <x:v>one-way.demand</x:v>
      </x:c>
      <x:c r="F9" s="79" t="str">
        <x:v>Cortante unidireccional por metro</x:v>
      </x:c>
      <x:c r="G9" s="80" t="n">
        <x:v>51.97500000000001</x:v>
      </x:c>
      <x:c r="H9" s="79" t="str">
        <x:v>kN/m</x:v>
      </x:c>
      <x:c r="I9" s="80" t="n">
        <x:v>0.1</x:v>
      </x:c>
      <x:c r="J9" s="88" t="n">
        <x:v>0.005</x:v>
      </x:c>
      <x:c r="K9" s="79" t="str">
        <x:v>NEC-2015-GUIDE-TRACEABLE</x:v>
      </x:c>
      <x:c r="L9" s="79" t="str">
        <x:v>AXC-STRIP-ASSUMPTIONS-001</x:v>
      </x:c>
    </x:row>
    <x:row r="10">
      <x:c r="A10" s="79" t="str">
        <x:v>AXC-BMK-STRIP-001|flexure.demand</x:v>
      </x:c>
      <x:c r="B10" s="79" t="str">
        <x:v>strip</x:v>
      </x:c>
      <x:c r="C10" s="79" t="str">
        <x:v>Zapata corrida</x:v>
      </x:c>
      <x:c r="D10" s="79" t="str">
        <x:v>AXC-BMK-STRIP-001</x:v>
      </x:c>
      <x:c r="E10" s="79" t="str">
        <x:v>flexure.demand</x:v>
      </x:c>
      <x:c r="F10" s="79" t="str">
        <x:v>Momento transversal por metro</x:v>
      </x:c>
      <x:c r="G10" s="80" t="n">
        <x:v>28.125</x:v>
      </x:c>
      <x:c r="H10" s="79" t="str">
        <x:v>kN·m/m</x:v>
      </x:c>
      <x:c r="I10" s="80" t="n">
        <x:v>0.1</x:v>
      </x:c>
      <x:c r="J10" s="88" t="n">
        <x:v>0.005</x:v>
      </x:c>
      <x:c r="K10" s="79" t="str">
        <x:v>NEC-2015-GUIDE-TRACEABLE</x:v>
      </x:c>
      <x:c r="L10" s="79" t="str">
        <x:v>AXC-STRIP-ASSUMPTIONS-001</x:v>
      </x:c>
    </x:row>
    <x:row r="11">
      <x:c r="A11" s="79" t="str">
        <x:v>AXC-BMK-COMBINED-001|contact.gross-left</x:v>
      </x:c>
      <x:c r="B11" s="79" t="str">
        <x:v>combined</x:v>
      </x:c>
      <x:c r="C11" s="79" t="str">
        <x:v>Combinada rectangular</x:v>
      </x:c>
      <x:c r="D11" s="79" t="str">
        <x:v>AXC-BMK-COMBINED-001</x:v>
      </x:c>
      <x:c r="E11" s="79" t="str">
        <x:v>contact.gross-left</x:v>
      </x:c>
      <x:c r="F11" s="79" t="str">
        <x:v>Presión bruta de servicio izquierda</x:v>
      </x:c>
      <x:c r="G11" s="80" t="n">
        <x:v>146.00957725402168</x:v>
      </x:c>
      <x:c r="H11" s="79" t="str">
        <x:v>kPa</x:v>
      </x:c>
      <x:c r="I11" s="80" t="n">
        <x:v>0.1</x:v>
      </x:c>
      <x:c r="J11" s="88" t="n">
        <x:v>0.005</x:v>
      </x:c>
      <x:c r="K11" s="79" t="str">
        <x:v>NEC-2015-GUIDE-TRACEABLE</x:v>
      </x:c>
      <x:c r="L11" s="79" t="str">
        <x:v>AXC-COMBINED-ASSUMPTIONS-001</x:v>
      </x:c>
    </x:row>
    <x:row r="12">
      <x:c r="A12" s="79" t="str">
        <x:v>AXC-BMK-COMBINED-001|contact.gross-right</x:v>
      </x:c>
      <x:c r="B12" s="79" t="str">
        <x:v>combined</x:v>
      </x:c>
      <x:c r="C12" s="79" t="str">
        <x:v>Combinada rectangular</x:v>
      </x:c>
      <x:c r="D12" s="79" t="str">
        <x:v>AXC-BMK-COMBINED-001</x:v>
      </x:c>
      <x:c r="E12" s="79" t="str">
        <x:v>contact.gross-right</x:v>
      </x:c>
      <x:c r="F12" s="79" t="str">
        <x:v>Presión bruta de servicio derecha</x:v>
      </x:c>
      <x:c r="G12" s="80" t="n">
        <x:v>149.75069210624764</x:v>
      </x:c>
      <x:c r="H12" s="79" t="str">
        <x:v>kPa</x:v>
      </x:c>
      <x:c r="I12" s="80" t="n">
        <x:v>0.1</x:v>
      </x:c>
      <x:c r="J12" s="88" t="n">
        <x:v>0.005</x:v>
      </x:c>
      <x:c r="K12" s="79" t="str">
        <x:v>NEC-2015-GUIDE-TRACEABLE</x:v>
      </x:c>
      <x:c r="L12" s="79" t="str">
        <x:v>AXC-COMBINED-ASSUMPTIONS-001</x:v>
      </x:c>
    </x:row>
    <x:row r="13">
      <x:c r="A13" s="79" t="str">
        <x:v>AXC-BMK-COMBINED-001|longitudinal.governing-moment</x:v>
      </x:c>
      <x:c r="B13" s="79" t="str">
        <x:v>combined</x:v>
      </x:c>
      <x:c r="C13" s="79" t="str">
        <x:v>Combinada rectangular</x:v>
      </x:c>
      <x:c r="D13" s="79" t="str">
        <x:v>AXC-BMK-COMBINED-001</x:v>
      </x:c>
      <x:c r="E13" s="79" t="str">
        <x:v>longitudinal.governing-moment</x:v>
      </x:c>
      <x:c r="F13" s="79" t="str">
        <x:v>Momento longitudinal absoluto gobernante</x:v>
      </x:c>
      <x:c r="G13" s="80" t="n">
        <x:v>385.084448329814</x:v>
      </x:c>
      <x:c r="H13" s="79" t="str">
        <x:v>kN·m</x:v>
      </x:c>
      <x:c r="I13" s="80" t="n">
        <x:v>0.1</x:v>
      </x:c>
      <x:c r="J13" s="88" t="n">
        <x:v>0.005</x:v>
      </x:c>
      <x:c r="K13" s="79" t="str">
        <x:v>NEC-2015-GUIDE-TRACEABLE</x:v>
      </x:c>
      <x:c r="L13" s="79" t="str">
        <x:v>AXC-COMBINED-ASSUMPTIONS-001</x:v>
      </x:c>
    </x:row>
    <x:row r="14">
      <x:c r="A14" s="79" t="str">
        <x:v>AXC-BMK-STRAP-001|equilibrium.strap-shear</x:v>
      </x:c>
      <x:c r="B14" s="79" t="str">
        <x:v>strap</x:v>
      </x:c>
      <x:c r="C14" s="79" t="str">
        <x:v>Medianera con viga</x:v>
      </x:c>
      <x:c r="D14" s="79" t="str">
        <x:v>AXC-BMK-STRAP-001</x:v>
      </x:c>
      <x:c r="E14" s="79" t="str">
        <x:v>equilibrium.strap-shear</x:v>
      </x:c>
      <x:c r="F14" s="79" t="str">
        <x:v>Cortante transferido por la viga</x:v>
      </x:c>
      <x:c r="G14" s="80" t="n">
        <x:v>36.00000000000001</x:v>
      </x:c>
      <x:c r="H14" s="79" t="str">
        <x:v>kN</x:v>
      </x:c>
      <x:c r="I14" s="80" t="n">
        <x:v>0.1</x:v>
      </x:c>
      <x:c r="J14" s="88" t="n">
        <x:v>0.005</x:v>
      </x:c>
      <x:c r="K14" s="79" t="str">
        <x:v>NEC-2015-GUIDE-TRACEABLE</x:v>
      </x:c>
      <x:c r="L14" s="79" t="str">
        <x:v>AXC-STRAP-ASSUMPTIONS-001</x:v>
      </x:c>
    </x:row>
    <x:row r="15">
      <x:c r="A15" s="79" t="str">
        <x:v>AXC-BMK-STRAP-001|contact.exterior-gross-pressure</x:v>
      </x:c>
      <x:c r="B15" s="79" t="str">
        <x:v>strap</x:v>
      </x:c>
      <x:c r="C15" s="79" t="str">
        <x:v>Medianera con viga</x:v>
      </x:c>
      <x:c r="D15" s="79" t="str">
        <x:v>AXC-BMK-STRAP-001</x:v>
      </x:c>
      <x:c r="E15" s="79" t="str">
        <x:v>contact.exterior-gross-pressure</x:v>
      </x:c>
      <x:c r="F15" s="79" t="str">
        <x:v>Presión bruta base exterior</x:v>
      </x:c>
      <x:c r="G15" s="80" t="n">
        <x:v>213.39468749999997</x:v>
      </x:c>
      <x:c r="H15" s="79" t="str">
        <x:v>kPa</x:v>
      </x:c>
      <x:c r="I15" s="80" t="n">
        <x:v>0.1</x:v>
      </x:c>
      <x:c r="J15" s="88" t="n">
        <x:v>0.005</x:v>
      </x:c>
      <x:c r="K15" s="79" t="str">
        <x:v>NEC-2015-GUIDE-TRACEABLE</x:v>
      </x:c>
      <x:c r="L15" s="79" t="str">
        <x:v>AXC-STRAP-ASSUMPTIONS-001</x:v>
      </x:c>
    </x:row>
    <x:row r="16">
      <x:c r="A16" s="79" t="str">
        <x:v>AXC-BMK-STRAP-001|contact.interior-gross-pressure</x:v>
      </x:c>
      <x:c r="B16" s="79" t="str">
        <x:v>strap</x:v>
      </x:c>
      <x:c r="C16" s="79" t="str">
        <x:v>Medianera con viga</x:v>
      </x:c>
      <x:c r="D16" s="79" t="str">
        <x:v>AXC-BMK-STRAP-001</x:v>
      </x:c>
      <x:c r="E16" s="79" t="str">
        <x:v>contact.interior-gross-pressure</x:v>
      </x:c>
      <x:c r="F16" s="79" t="str">
        <x:v>Presión bruta base interior</x:v>
      </x:c>
      <x:c r="G16" s="80" t="n">
        <x:v>178.43920454545454</x:v>
      </x:c>
      <x:c r="H16" s="79" t="str">
        <x:v>kPa</x:v>
      </x:c>
      <x:c r="I16" s="80" t="n">
        <x:v>0.1</x:v>
      </x:c>
      <x:c r="J16" s="88" t="n">
        <x:v>0.005</x:v>
      </x:c>
      <x:c r="K16" s="79" t="str">
        <x:v>NEC-2015-GUIDE-TRACEABLE</x:v>
      </x:c>
      <x:c r="L16" s="79" t="str">
        <x:v>AXC-STRAP-ASSUMPTIONS-001</x:v>
      </x:c>
    </x:row>
    <x:row r="17">
      <x:c r="A17" s="79" t="str">
        <x:v>AXC-BMK-TRAPEZOIDAL-001|geometry.centroid-from-left</x:v>
      </x:c>
      <x:c r="B17" s="79" t="str">
        <x:v>trapezoidal</x:v>
      </x:c>
      <x:c r="C17" s="79" t="str">
        <x:v>Combinada trapezoidal</x:v>
      </x:c>
      <x:c r="D17" s="79" t="str">
        <x:v>AXC-BMK-TRAPEZOIDAL-001</x:v>
      </x:c>
      <x:c r="E17" s="79" t="str">
        <x:v>geometry.centroid-from-left</x:v>
      </x:c>
      <x:c r="F17" s="79" t="str">
        <x:v>Centroide geométrico desde la izquierda</x:v>
      </x:c>
      <x:c r="G17" s="80" t="n">
        <x:v>3.25</x:v>
      </x:c>
      <x:c r="H17" s="79" t="str">
        <x:v>m</x:v>
      </x:c>
      <x:c r="I17" s="80" t="n">
        <x:v>0.001</x:v>
      </x:c>
      <x:c r="J17" s="88" t="n">
        <x:v>0.005</x:v>
      </x:c>
      <x:c r="K17" s="79" t="str">
        <x:v>NEC-2015-GUIDE-TRACEABLE</x:v>
      </x:c>
      <x:c r="L17" s="79" t="str">
        <x:v>AXC-TRAPEZOIDAL-ASSUMPTIONS-001</x:v>
      </x:c>
    </x:row>
    <x:row r="18">
      <x:c r="A18" s="79" t="str">
        <x:v>AXC-BMK-TRAPEZOIDAL-001|contact.gross-left</x:v>
      </x:c>
      <x:c r="B18" s="79" t="str">
        <x:v>trapezoidal</x:v>
      </x:c>
      <x:c r="C18" s="79" t="str">
        <x:v>Combinada trapezoidal</x:v>
      </x:c>
      <x:c r="D18" s="79" t="str">
        <x:v>AXC-BMK-TRAPEZOIDAL-001</x:v>
      </x:c>
      <x:c r="E18" s="79" t="str">
        <x:v>contact.gross-left</x:v>
      </x:c>
      <x:c r="F18" s="79" t="str">
        <x:v>Presión bruta de servicio izquierda</x:v>
      </x:c>
      <x:c r="G18" s="80" t="n">
        <x:v>112</x:v>
      </x:c>
      <x:c r="H18" s="79" t="str">
        <x:v>kPa</x:v>
      </x:c>
      <x:c r="I18" s="80" t="n">
        <x:v>0.1</x:v>
      </x:c>
      <x:c r="J18" s="88" t="n">
        <x:v>0.005</x:v>
      </x:c>
      <x:c r="K18" s="79" t="str">
        <x:v>NEC-2015-GUIDE-TRACEABLE</x:v>
      </x:c>
      <x:c r="L18" s="79" t="str">
        <x:v>AXC-TRAPEZOIDAL-ASSUMPTIONS-001</x:v>
      </x:c>
    </x:row>
    <x:row r="19">
      <x:c r="A19" s="79" t="str">
        <x:v>AXC-BMK-TRAPEZOIDAL-001|contact.gross-right</x:v>
      </x:c>
      <x:c r="B19" s="79" t="str">
        <x:v>trapezoidal</x:v>
      </x:c>
      <x:c r="C19" s="79" t="str">
        <x:v>Combinada trapezoidal</x:v>
      </x:c>
      <x:c r="D19" s="79" t="str">
        <x:v>AXC-BMK-TRAPEZOIDAL-001</x:v>
      </x:c>
      <x:c r="E19" s="79" t="str">
        <x:v>contact.gross-right</x:v>
      </x:c>
      <x:c r="F19" s="79" t="str">
        <x:v>Presión bruta de servicio derecha</x:v>
      </x:c>
      <x:c r="G19" s="80" t="n">
        <x:v>112</x:v>
      </x:c>
      <x:c r="H19" s="79" t="str">
        <x:v>kPa</x:v>
      </x:c>
      <x:c r="I19" s="80" t="n">
        <x:v>0.1</x:v>
      </x:c>
      <x:c r="J19" s="88" t="n">
        <x:v>0.005</x:v>
      </x:c>
      <x:c r="K19" s="79" t="str">
        <x:v>NEC-2015-GUIDE-TRACEABLE</x:v>
      </x:c>
      <x:c r="L19" s="79" t="str">
        <x:v>AXC-TRAPEZOIDAL-ASSUMPTIONS-001</x:v>
      </x:c>
    </x:row>
    <x:row r="20">
      <x:c r="A20" s="79" t="str">
        <x:v>AXC-BMK-EDGE-001|contact.gross-left</x:v>
      </x:c>
      <x:c r="B20" s="79" t="str">
        <x:v>edge</x:v>
      </x:c>
      <x:c r="C20" s="79" t="str">
        <x:v>Excéntrica de borde</x:v>
      </x:c>
      <x:c r="D20" s="79" t="str">
        <x:v>AXC-BMK-EDGE-001</x:v>
      </x:c>
      <x:c r="E20" s="79" t="str">
        <x:v>contact.gross-left</x:v>
      </x:c>
      <x:c r="F20" s="79" t="str">
        <x:v>Presión bruta de servicio izquierda</x:v>
      </x:c>
      <x:c r="G20" s="80" t="n">
        <x:v>206.44444444444443</x:v>
      </x:c>
      <x:c r="H20" s="79" t="str">
        <x:v>kPa</x:v>
      </x:c>
      <x:c r="I20" s="80" t="n">
        <x:v>0.1</x:v>
      </x:c>
      <x:c r="J20" s="88" t="n">
        <x:v>0.005</x:v>
      </x:c>
      <x:c r="K20" s="79" t="str">
        <x:v>NEC-2015-GUIDE-TRACEABLE</x:v>
      </x:c>
      <x:c r="L20" s="79" t="str">
        <x:v>AXC-EDGE-ASSUMPTIONS-001</x:v>
      </x:c>
    </x:row>
    <x:row r="21">
      <x:c r="A21" s="79" t="str">
        <x:v>AXC-BMK-EDGE-001|contact.gross-right</x:v>
      </x:c>
      <x:c r="B21" s="79" t="str">
        <x:v>edge</x:v>
      </x:c>
      <x:c r="C21" s="79" t="str">
        <x:v>Excéntrica de borde</x:v>
      </x:c>
      <x:c r="D21" s="79" t="str">
        <x:v>AXC-BMK-EDGE-001</x:v>
      </x:c>
      <x:c r="E21" s="79" t="str">
        <x:v>contact.gross-right</x:v>
      </x:c>
      <x:c r="F21" s="79" t="str">
        <x:v>Presión bruta de servicio derecha</x:v>
      </x:c>
      <x:c r="G21" s="80" t="n">
        <x:v>39.7777777777778</x:v>
      </x:c>
      <x:c r="H21" s="79" t="str">
        <x:v>kPa</x:v>
      </x:c>
      <x:c r="I21" s="80" t="n">
        <x:v>0.1</x:v>
      </x:c>
      <x:c r="J21" s="88" t="n">
        <x:v>0.005</x:v>
      </x:c>
      <x:c r="K21" s="79" t="str">
        <x:v>NEC-2015-GUIDE-TRACEABLE</x:v>
      </x:c>
      <x:c r="L21" s="79" t="str">
        <x:v>AXC-EDGE-ASSUMPTIONS-001</x:v>
      </x:c>
    </x:row>
    <x:row r="22">
      <x:c r="A22" s="79" t="str">
        <x:v>AXC-BMK-EDGE-001|longitudinal.governing-flexure</x:v>
      </x:c>
      <x:c r="B22" s="79" t="str">
        <x:v>edge</x:v>
      </x:c>
      <x:c r="C22" s="79" t="str">
        <x:v>Excéntrica de borde</x:v>
      </x:c>
      <x:c r="D22" s="79" t="str">
        <x:v>AXC-BMK-EDGE-001</x:v>
      </x:c>
      <x:c r="E22" s="79" t="str">
        <x:v>longitudinal.governing-flexure</x:v>
      </x:c>
      <x:c r="F22" s="79" t="str">
        <x:v>Momento longitudinal gobernante</x:v>
      </x:c>
      <x:c r="G22" s="80" t="n">
        <x:v>1.6875000000000142</x:v>
      </x:c>
      <x:c r="H22" s="79" t="str">
        <x:v>kN·m</x:v>
      </x:c>
      <x:c r="I22" s="80" t="n">
        <x:v>0.1</x:v>
      </x:c>
      <x:c r="J22" s="88" t="n">
        <x:v>0.005</x:v>
      </x:c>
      <x:c r="K22" s="79" t="str">
        <x:v>NEC-2015-GUIDE-TRACEABLE</x:v>
      </x:c>
      <x:c r="L22" s="79" t="str">
        <x:v>AXC-EDGE-ASSUMPTIONS-001</x:v>
      </x:c>
    </x:row>
    <x:row r="23">
      <x:c r="A23" s="79" t="str">
        <x:v>AXC-BMK-CORNER-001|contact.gross-average</x:v>
      </x:c>
      <x:c r="B23" s="79" t="str">
        <x:v>corner</x:v>
      </x:c>
      <x:c r="C23" s="79" t="str">
        <x:v>Esquina biaxial</x:v>
      </x:c>
      <x:c r="D23" s="79" t="str">
        <x:v>AXC-BMK-CORNER-001</x:v>
      </x:c>
      <x:c r="E23" s="79" t="str">
        <x:v>contact.gross-average</x:v>
      </x:c>
      <x:c r="F23" s="79" t="str">
        <x:v>Presión bruta promedio</x:v>
      </x:c>
      <x:c r="G23" s="80" t="n">
        <x:v>157.12471655328795</x:v>
      </x:c>
      <x:c r="H23" s="79" t="str">
        <x:v>kPa</x:v>
      </x:c>
      <x:c r="I23" s="80" t="n">
        <x:v>0.1</x:v>
      </x:c>
      <x:c r="J23" s="88" t="n">
        <x:v>0.005</x:v>
      </x:c>
      <x:c r="K23" s="79" t="str">
        <x:v>NEC-2015-GUIDE-TRACEABLE</x:v>
      </x:c>
      <x:c r="L23" s="79" t="str">
        <x:v>AXC-CORNER-ASSUMPTIONS-001</x:v>
      </x:c>
    </x:row>
    <x:row r="24">
      <x:c r="A24" s="79" t="str">
        <x:v>AXC-BMK-CORNER-001|contact.gross-minimum</x:v>
      </x:c>
      <x:c r="B24" s="79" t="str">
        <x:v>corner</x:v>
      </x:c>
      <x:c r="C24" s="79" t="str">
        <x:v>Esquina biaxial</x:v>
      </x:c>
      <x:c r="D24" s="79" t="str">
        <x:v>AXC-BMK-CORNER-001</x:v>
      </x:c>
      <x:c r="E24" s="79" t="str">
        <x:v>contact.gross-minimum</x:v>
      </x:c>
      <x:c r="F24" s="79" t="str">
        <x:v>Presión bruta mínima</x:v>
      </x:c>
      <x:c r="G24" s="80" t="n">
        <x:v>32.73210236475539</x:v>
      </x:c>
      <x:c r="H24" s="79" t="str">
        <x:v>kPa</x:v>
      </x:c>
      <x:c r="I24" s="80" t="n">
        <x:v>0.1</x:v>
      </x:c>
      <x:c r="J24" s="88" t="n">
        <x:v>0.005</x:v>
      </x:c>
      <x:c r="K24" s="79" t="str">
        <x:v>NEC-2015-GUIDE-TRACEABLE</x:v>
      </x:c>
      <x:c r="L24" s="79" t="str">
        <x:v>AXC-CORNER-ASSUMPTIONS-001</x:v>
      </x:c>
    </x:row>
    <x:row r="25">
      <x:c r="A25" s="79" t="str">
        <x:v>AXC-BMK-CORNER-001|contact.gross-maximum</x:v>
      </x:c>
      <x:c r="B25" s="79" t="str">
        <x:v>corner</x:v>
      </x:c>
      <x:c r="C25" s="79" t="str">
        <x:v>Esquina biaxial</x:v>
      </x:c>
      <x:c r="D25" s="79" t="str">
        <x:v>AXC-BMK-CORNER-001</x:v>
      </x:c>
      <x:c r="E25" s="79" t="str">
        <x:v>contact.gross-maximum</x:v>
      </x:c>
      <x:c r="F25" s="79" t="str">
        <x:v>Presión bruta máxima</x:v>
      </x:c>
      <x:c r="G25" s="80" t="n">
        <x:v>281.5173307418205</x:v>
      </x:c>
      <x:c r="H25" s="79" t="str">
        <x:v>kPa</x:v>
      </x:c>
      <x:c r="I25" s="80" t="n">
        <x:v>0.1</x:v>
      </x:c>
      <x:c r="J25" s="88" t="n">
        <x:v>0.005</x:v>
      </x:c>
      <x:c r="K25" s="79" t="str">
        <x:v>NEC-2015-GUIDE-TRACEABLE</x:v>
      </x:c>
      <x:c r="L25" s="79" t="str">
        <x:v>AXC-CORNER-ASSUMPTIONS-001</x:v>
      </x:c>
    </x:row>
    <x:row r="26">
      <x:c r="A26" s="79" t="str">
        <x:v>AXC-BMK-MAT-001|contact.gross-average</x:v>
      </x:c>
      <x:c r="B26" s="79" t="str">
        <x:v>mat</x:v>
      </x:c>
      <x:c r="C26" s="79" t="str">
        <x:v>Losa de cimentación</x:v>
      </x:c>
      <x:c r="D26" s="79" t="str">
        <x:v>AXC-BMK-MAT-001</x:v>
      </x:c>
      <x:c r="E26" s="79" t="str">
        <x:v>contact.gross-average</x:v>
      </x:c>
      <x:c r="F26" s="79" t="str">
        <x:v>Presión bruta promedio</x:v>
      </x:c>
      <x:c r="G26" s="80" t="n">
        <x:v>79.3</x:v>
      </x:c>
      <x:c r="H26" s="79" t="str">
        <x:v>kPa</x:v>
      </x:c>
      <x:c r="I26" s="80" t="n">
        <x:v>0.1</x:v>
      </x:c>
      <x:c r="J26" s="88" t="n">
        <x:v>0.005</x:v>
      </x:c>
      <x:c r="K26" s="79" t="str">
        <x:v>NEC-2015-GUIDE-TRACEABLE</x:v>
      </x:c>
      <x:c r="L26" s="79" t="str">
        <x:v>AXC-MAT-ASSUMPTIONS-001</x:v>
      </x:c>
    </x:row>
    <x:row r="27">
      <x:c r="A27" s="79" t="str">
        <x:v>AXC-BMK-MAT-001|contact.gross-minimum</x:v>
      </x:c>
      <x:c r="B27" s="79" t="str">
        <x:v>mat</x:v>
      </x:c>
      <x:c r="C27" s="79" t="str">
        <x:v>Losa de cimentación</x:v>
      </x:c>
      <x:c r="D27" s="79" t="str">
        <x:v>AXC-BMK-MAT-001</x:v>
      </x:c>
      <x:c r="E27" s="79" t="str">
        <x:v>contact.gross-minimum</x:v>
      </x:c>
      <x:c r="F27" s="79" t="str">
        <x:v>Presión bruta mínima</x:v>
      </x:c>
      <x:c r="G27" s="80" t="n">
        <x:v>60.55</x:v>
      </x:c>
      <x:c r="H27" s="79" t="str">
        <x:v>kPa</x:v>
      </x:c>
      <x:c r="I27" s="80" t="n">
        <x:v>0.1</x:v>
      </x:c>
      <x:c r="J27" s="88" t="n">
        <x:v>0.005</x:v>
      </x:c>
      <x:c r="K27" s="79" t="str">
        <x:v>NEC-2015-GUIDE-TRACEABLE</x:v>
      </x:c>
      <x:c r="L27" s="79" t="str">
        <x:v>AXC-MAT-ASSUMPTIONS-001</x:v>
      </x:c>
    </x:row>
    <x:row r="28">
      <x:c r="A28" s="81" t="str">
        <x:v>AXC-BMK-MAT-001|contact.gross-maximum</x:v>
      </x:c>
      <x:c r="B28" s="81" t="str">
        <x:v>mat</x:v>
      </x:c>
      <x:c r="C28" s="81" t="str">
        <x:v>Losa de cimentación</x:v>
      </x:c>
      <x:c r="D28" s="81" t="str">
        <x:v>AXC-BMK-MAT-001</x:v>
      </x:c>
      <x:c r="E28" s="81" t="str">
        <x:v>contact.gross-maximum</x:v>
      </x:c>
      <x:c r="F28" s="81" t="str">
        <x:v>Presión bruta máxima</x:v>
      </x:c>
      <x:c r="G28" s="82" t="n">
        <x:v>98.04999999999998</x:v>
      </x:c>
      <x:c r="H28" s="81" t="str">
        <x:v>kPa</x:v>
      </x:c>
      <x:c r="I28" s="82" t="n">
        <x:v>0.1</x:v>
      </x:c>
      <x:c r="J28" s="89" t="n">
        <x:v>0.005</x:v>
      </x:c>
      <x:c r="K28" s="81" t="str">
        <x:v>NEC-2015-GUIDE-TRACEABLE</x:v>
      </x:c>
      <x:c r="L28" s="81" t="str">
        <x:v>AXC-MAT-ASSUMPTIONS-001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29b4c3732e8d46e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6" hidden="0" customWidth="1"/>
    <x:col min="3" max="3" width="27" hidden="0" customWidth="1"/>
    <x:col min="4" max="4" width="27" hidden="0" customWidth="1"/>
    <x:col min="5" max="5" width="35" hidden="0" customWidth="1"/>
    <x:col min="6" max="6" width="20" hidden="0" customWidth="1"/>
    <x:col min="7" max="7" width="23" hidden="0" customWidth="1"/>
    <x:col min="8" max="8" width="24" hidden="0" customWidth="1"/>
    <x:col min="9" max="9" width="28" hidden="0" customWidth="1"/>
    <x:col min="10" max="10" width="20" hidden="0" customWidth="1"/>
    <x:col min="11" max="11" width="29" hidden="0" customWidth="1"/>
    <x:col min="12" max="12" width="34" hidden="0" customWidth="1"/>
    <x:col min="13" max="13" width="16" hidden="0" customWidth="1"/>
    <x:col min="14" max="14" width="13" hidden="0" customWidth="1"/>
    <x:col min="15" max="15" width="42" hidden="0" customWidth="1"/>
    <x:col min="16" max="16" width="16" hidden="0" customWidth="1"/>
    <x:col min="17" max="17" width="22" hidden="0" customWidth="1"/>
    <x:col min="18" max="18" width="18" hidden="0" customWidth="1"/>
    <x:col min="19" max="19" width="18" hidden="0" customWidth="1"/>
    <x:col min="20" max="20" width="24" hidden="0" customWidth="1"/>
  </x:cols>
  <x:sheetData>
    <x:row r="1" ht="34" customHeight="1">
      <x:c r="A1" s="33" t="str">
        <x:v>Registro de observaciones externas</x:v>
      </x:c>
      <x:c r="B1" s="33" t="str">
        <x:v>Registro de observaciones externas</x:v>
      </x:c>
      <x:c r="C1" s="33" t="str">
        <x:v>Registro de observaciones externas</x:v>
      </x:c>
      <x:c r="D1" s="33" t="str">
        <x:v>Registro de observaciones externas</x:v>
      </x:c>
      <x:c r="E1" s="33" t="str">
        <x:v>Registro de observaciones externas</x:v>
      </x:c>
      <x:c r="F1" s="33" t="str">
        <x:v>Registro de observaciones externas</x:v>
      </x:c>
      <x:c r="G1" s="33" t="str">
        <x:v>Registro de observaciones externas</x:v>
      </x:c>
      <x:c r="H1" s="33" t="str">
        <x:v>Registro de observaciones externas</x:v>
      </x:c>
      <x:c r="I1" s="33" t="str">
        <x:v>Registro de observaciones externas</x:v>
      </x:c>
      <x:c r="J1" s="33" t="str">
        <x:v>Registro de observaciones externas</x:v>
      </x:c>
      <x:c r="K1" s="33" t="str">
        <x:v>Registro de observaciones externas</x:v>
      </x:c>
      <x:c r="L1" s="33" t="str">
        <x:v>Registro de observaciones externas</x:v>
      </x:c>
      <x:c r="M1" s="33" t="str">
        <x:v>Registro de observaciones externas</x:v>
      </x:c>
      <x:c r="N1" s="33" t="str">
        <x:v>Registro de observaciones externas</x:v>
      </x:c>
      <x:c r="O1" s="33" t="str">
        <x:v>Registro de observaciones externas</x:v>
      </x:c>
      <x:c r="P1" s="33" t="str">
        <x:v>Registro de observaciones externas</x:v>
      </x:c>
      <x:c r="Q1" s="33" t="str">
        <x:v>Registro de observaciones externas</x:v>
      </x:c>
      <x:c r="R1" s="33" t="str">
        <x:v>Registro de observaciones externas</x:v>
      </x:c>
      <x:c r="S1" s="33" t="str">
        <x:v>Registro de observaciones externas</x:v>
      </x:c>
      <x:c r="T1" s="33" t="str">
        <x:v>Registro de observaciones externas</x:v>
      </x:c>
    </x:row>
    <x:row r="2" ht="32" customHeight="1">
      <x:c r="A2" s="26" t="str">
        <x:v>Completa las celdas azules. El estado compara automáticamente contexto, unidades y tolerancias contra la pestaña Métricas.</x:v>
      </x:c>
      <x:c r="B2" s="26" t="str">
        <x:v>Completa las celdas azules. El estado compara automáticamente contexto, unidades y tolerancias contra la pestaña Métricas.</x:v>
      </x:c>
      <x:c r="C2" s="26" t="str">
        <x:v>Completa las celdas azules. El estado compara automáticamente contexto, unidades y tolerancias contra la pestaña Métricas.</x:v>
      </x:c>
      <x:c r="D2" s="26" t="str">
        <x:v>Completa las celdas azules. El estado compara automáticamente contexto, unidades y tolerancias contra la pestaña Métricas.</x:v>
      </x:c>
      <x:c r="E2" s="26" t="str">
        <x:v>Completa las celdas azules. El estado compara automáticamente contexto, unidades y tolerancias contra la pestaña Métricas.</x:v>
      </x:c>
      <x:c r="F2" s="26" t="str">
        <x:v>Completa las celdas azules. El estado compara automáticamente contexto, unidades y tolerancias contra la pestaña Métricas.</x:v>
      </x:c>
      <x:c r="G2" s="26" t="str">
        <x:v>Completa las celdas azules. El estado compara automáticamente contexto, unidades y tolerancias contra la pestaña Métricas.</x:v>
      </x:c>
      <x:c r="H2" s="26" t="str">
        <x:v>Completa las celdas azules. El estado compara automáticamente contexto, unidades y tolerancias contra la pestaña Métricas.</x:v>
      </x:c>
      <x:c r="I2" s="26" t="str">
        <x:v>Completa las celdas azules. El estado compara automáticamente contexto, unidades y tolerancias contra la pestaña Métricas.</x:v>
      </x:c>
      <x:c r="J2" s="26" t="str">
        <x:v>Completa las celdas azules. El estado compara automáticamente contexto, unidades y tolerancias contra la pestaña Métricas.</x:v>
      </x:c>
      <x:c r="K2" s="26" t="str">
        <x:v>Completa las celdas azules. El estado compara automáticamente contexto, unidades y tolerancias contra la pestaña Métricas.</x:v>
      </x:c>
      <x:c r="L2" s="26" t="str">
        <x:v>Completa las celdas azules. El estado compara automáticamente contexto, unidades y tolerancias contra la pestaña Métricas.</x:v>
      </x:c>
      <x:c r="M2" s="26" t="str">
        <x:v>Completa las celdas azules. El estado compara automáticamente contexto, unidades y tolerancias contra la pestaña Métricas.</x:v>
      </x:c>
      <x:c r="N2" s="26" t="str">
        <x:v>Completa las celdas azules. El estado compara automáticamente contexto, unidades y tolerancias contra la pestaña Métricas.</x:v>
      </x:c>
      <x:c r="O2" s="26" t="str">
        <x:v>Completa las celdas azules. El estado compara automáticamente contexto, unidades y tolerancias contra la pestaña Métricas.</x:v>
      </x:c>
      <x:c r="P2" s="26" t="str">
        <x:v>Completa las celdas azules. El estado compara automáticamente contexto, unidades y tolerancias contra la pestaña Métricas.</x:v>
      </x:c>
      <x:c r="Q2" s="26" t="str">
        <x:v>Completa las celdas azules. El estado compara automáticamente contexto, unidades y tolerancias contra la pestaña Métricas.</x:v>
      </x:c>
      <x:c r="R2" s="26" t="str">
        <x:v>Completa las celdas azules. El estado compara automáticamente contexto, unidades y tolerancias contra la pestaña Métricas.</x:v>
      </x:c>
      <x:c r="S2" s="26" t="str">
        <x:v>Completa las celdas azules. El estado compara automáticamente contexto, unidades y tolerancias contra la pestaña Métricas.</x:v>
      </x:c>
      <x:c r="T2" s="26" t="str">
        <x:v>Completa las celdas azules. El estado compara automáticamente contexto, unidades y tolerancias contra la pestaña Métricas.</x:v>
      </x:c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</x:row>
    <x:row r="4" ht="30" customHeight="1">
      <x:c r="A4" s="29" t="str">
        <x:v>Clave</x:v>
      </x:c>
      <x:c r="B4" s="54" t="str">
        <x:v>Tipo</x:v>
      </x:c>
      <x:c r="C4" s="54" t="str">
        <x:v>Familia</x:v>
      </x:c>
      <x:c r="D4" s="54" t="str">
        <x:v>Caso</x:v>
      </x:c>
      <x:c r="E4" s="54" t="str">
        <x:v>Métrica</x:v>
      </x:c>
      <x:c r="F4" s="54" t="str">
        <x:v>Ranura</x:v>
      </x:c>
      <x:c r="G4" s="54" t="str">
        <x:v>Clase</x:v>
      </x:c>
      <x:c r="H4" s="54" t="str">
        <x:v>ID fuente</x:v>
      </x:c>
      <x:c r="I4" s="54" t="str">
        <x:v>Producto / autor</x:v>
      </x:c>
      <x:c r="J4" s="54" t="str">
        <x:v>Versión</x:v>
      </x:c>
      <x:c r="K4" s="54" t="str">
        <x:v>Perfil</x:v>
      </x:c>
      <x:c r="L4" s="54" t="str">
        <x:v>Firma de hipótesis</x:v>
      </x:c>
      <x:c r="M4" s="54" t="str">
        <x:v>Valor externo</x:v>
      </x:c>
      <x:c r="N4" s="54" t="str">
        <x:v>Unidad</x:v>
      </x:c>
      <x:c r="O4" s="54" t="str">
        <x:v>URL / archivo de evidencia</x:v>
      </x:c>
      <x:c r="P4" s="54" t="str">
        <x:v>Fecha captura</x:v>
      </x:c>
      <x:c r="Q4" s="54" t="str">
        <x:v>Responsable</x:v>
      </x:c>
      <x:c r="R4" s="54" t="str">
        <x:v>Diferencia absoluta</x:v>
      </x:c>
      <x:c r="S4" s="54" t="str">
        <x:v>Diferencia relativa</x:v>
      </x:c>
      <x:c r="T4" s="30" t="str">
        <x:v>Estado</x:v>
      </x:c>
    </x:row>
    <x:row r="5">
      <x:c r="A5" s="77" t="str">
        <x:v>AXC-BMK-ISO-001|contact.gross-pressure</x:v>
      </x:c>
      <x:c r="B5" s="77" t="str">
        <x:v>isolated</x:v>
      </x:c>
      <x:c r="C5" s="77" t="str">
        <x:v>Zapata aislada</x:v>
      </x:c>
      <x:c r="D5" s="77" t="str">
        <x:v>AXC-BMK-ISO-001</x:v>
      </x:c>
      <x:c r="E5" s="77" t="str">
        <x:v>contact.gross-pressure</x:v>
      </x:c>
      <x:c r="F5" s="77" t="str">
        <x:v>Referencia pública</x:v>
      </x:c>
      <x:c r="G5" s="77" t="str">
        <x:v>public-reference</x:v>
      </x:c>
      <x:c r="H5" s="103" t="str"/>
      <x:c r="I5" s="103" t="str"/>
      <x:c r="J5" s="103" t="str"/>
      <x:c r="K5" s="77" t="str">
        <x:v>NEC-2015-GUIDE-TRACEABLE</x:v>
      </x:c>
      <x:c r="L5" s="77" t="str">
        <x:v>AXC-ISO-ASSUMPTIONS-001</x:v>
      </x:c>
      <x:c r="M5" s="104"/>
      <x:c r="N5" s="77" t="str">
        <x:v>kPa</x:v>
      </x:c>
      <x:c r="O5" s="103" t="str"/>
      <x:c r="P5" s="105"/>
      <x:c r="Q5" s="103" t="str"/>
      <x:c r="R5" s="78" t="str">
        <x:f>IF(M5="","",ABS(M5-INDEX('Métricas'!$G$5:$G$28,MATCH(A5,'Métricas'!$A$5:$A$28,0))))</x:f>
      </x:c>
      <x:c r="S5" s="87" t="str">
        <x:f>IF(M5="","",R5/MAX(ABS(M5),ABS(INDEX('Métricas'!$G$5:$G$28,MATCH(A5,'Métricas'!$A$5:$A$28,0))),1E-12))</x:f>
      </x:c>
      <x:c r="T5" s="77" t="str">
        <x:f>IF(OR(H5="",I5="",J5="",M5="",O5="",P5="",Q5=""),"PENDIENTE",IF(OR(K5&lt;&gt;INDEX('Métricas'!$K$5:$K$28,MATCH(A5,'Métricas'!$A$5:$A$28,0)),L5&lt;&gt;INDEX('Métricas'!$L$5:$L$28,MATCH(A5,'Métricas'!$A$5:$A$28,0)),N5&lt;&gt;INDEX('Métricas'!$H$5:$H$28,MATCH(A5,'Métricas'!$A$5:$A$28,0))),"CONTEXTO INCOMPATIBLE",IF(OR(R5&lt;=INDEX('Métricas'!$I$5:$I$28,MATCH(A5,'Métricas'!$A$5:$A$28,0)),S5&lt;=INDEX('Métricas'!$J$5:$J$28,MATCH(A5,'Métricas'!$A$5:$A$28,0))),"COMPATIBLE","FUERA DE TOLERANCIA")))</x:f>
        <x:v>PENDIENTE</x:v>
      </x:c>
    </x:row>
    <x:row r="6">
      <x:c r="A6" s="79" t="str">
        <x:v>AXC-BMK-ISO-001|contact.gross-pressure</x:v>
      </x:c>
      <x:c r="B6" s="79" t="str">
        <x:v>isolated</x:v>
      </x:c>
      <x:c r="C6" s="79" t="str">
        <x:v>Zapata aislada</x:v>
      </x:c>
      <x:c r="D6" s="79" t="str">
        <x:v>AXC-BMK-ISO-001</x:v>
      </x:c>
      <x:c r="E6" s="79" t="str">
        <x:v>contact.gross-pressure</x:v>
      </x:c>
      <x:c r="F6" s="79" t="str">
        <x:v>Software 1</x:v>
      </x:c>
      <x:c r="G6" s="79" t="str">
        <x:v>software</x:v>
      </x:c>
      <x:c r="H6" s="106" t="str"/>
      <x:c r="I6" s="106" t="str"/>
      <x:c r="J6" s="106" t="str"/>
      <x:c r="K6" s="79" t="str">
        <x:v>NEC-2015-GUIDE-TRACEABLE</x:v>
      </x:c>
      <x:c r="L6" s="79" t="str">
        <x:v>AXC-ISO-ASSUMPTIONS-001</x:v>
      </x:c>
      <x:c r="M6" s="107"/>
      <x:c r="N6" s="79" t="str">
        <x:v>kPa</x:v>
      </x:c>
      <x:c r="O6" s="106" t="str"/>
      <x:c r="P6" s="108"/>
      <x:c r="Q6" s="106" t="str"/>
      <x:c r="R6" s="80" t="str">
        <x:f>IF(M6="","",ABS(M6-INDEX('Métricas'!$G$5:$G$28,MATCH(A6,'Métricas'!$A$5:$A$28,0))))</x:f>
      </x:c>
      <x:c r="S6" s="88" t="str">
        <x:f>IF(M6="","",R6/MAX(ABS(M6),ABS(INDEX('Métricas'!$G$5:$G$28,MATCH(A6,'Métricas'!$A$5:$A$28,0))),1E-12))</x:f>
      </x:c>
      <x:c r="T6" s="79" t="str">
        <x:f>IF(OR(H6="",I6="",J6="",M6="",O6="",P6="",Q6=""),"PENDIENTE",IF(OR(K6&lt;&gt;INDEX('Métricas'!$K$5:$K$28,MATCH(A6,'Métricas'!$A$5:$A$28,0)),L6&lt;&gt;INDEX('Métricas'!$L$5:$L$28,MATCH(A6,'Métricas'!$A$5:$A$28,0)),N6&lt;&gt;INDEX('Métricas'!$H$5:$H$28,MATCH(A6,'Métricas'!$A$5:$A$28,0))),"CONTEXTO INCOMPATIBLE",IF(OR(R6&lt;=INDEX('Métricas'!$I$5:$I$28,MATCH(A6,'Métricas'!$A$5:$A$28,0)),S6&lt;=INDEX('Métricas'!$J$5:$J$28,MATCH(A6,'Métricas'!$A$5:$A$28,0))),"COMPATIBLE","FUERA DE TOLERANCIA")))</x:f>
        <x:v>PENDIENTE</x:v>
      </x:c>
    </x:row>
    <x:row r="7">
      <x:c r="A7" s="79" t="str">
        <x:v>AXC-BMK-ISO-001|contact.gross-pressure</x:v>
      </x:c>
      <x:c r="B7" s="79" t="str">
        <x:v>isolated</x:v>
      </x:c>
      <x:c r="C7" s="79" t="str">
        <x:v>Zapata aislada</x:v>
      </x:c>
      <x:c r="D7" s="79" t="str">
        <x:v>AXC-BMK-ISO-001</x:v>
      </x:c>
      <x:c r="E7" s="79" t="str">
        <x:v>contact.gross-pressure</x:v>
      </x:c>
      <x:c r="F7" s="79" t="str">
        <x:v>Software 2</x:v>
      </x:c>
      <x:c r="G7" s="79" t="str">
        <x:v>software</x:v>
      </x:c>
      <x:c r="H7" s="106" t="str"/>
      <x:c r="I7" s="106" t="str"/>
      <x:c r="J7" s="106" t="str"/>
      <x:c r="K7" s="79" t="str">
        <x:v>NEC-2015-GUIDE-TRACEABLE</x:v>
      </x:c>
      <x:c r="L7" s="79" t="str">
        <x:v>AXC-ISO-ASSUMPTIONS-001</x:v>
      </x:c>
      <x:c r="M7" s="107"/>
      <x:c r="N7" s="79" t="str">
        <x:v>kPa</x:v>
      </x:c>
      <x:c r="O7" s="106" t="str"/>
      <x:c r="P7" s="108"/>
      <x:c r="Q7" s="106" t="str"/>
      <x:c r="R7" s="80" t="str">
        <x:f>IF(M7="","",ABS(M7-INDEX('Métricas'!$G$5:$G$28,MATCH(A7,'Métricas'!$A$5:$A$28,0))))</x:f>
      </x:c>
      <x:c r="S7" s="88" t="str">
        <x:f>IF(M7="","",R7/MAX(ABS(M7),ABS(INDEX('Métricas'!$G$5:$G$28,MATCH(A7,'Métricas'!$A$5:$A$28,0))),1E-12))</x:f>
      </x:c>
      <x:c r="T7" s="79" t="str">
        <x:f>IF(OR(H7="",I7="",J7="",M7="",O7="",P7="",Q7=""),"PENDIENTE",IF(OR(K7&lt;&gt;INDEX('Métricas'!$K$5:$K$28,MATCH(A7,'Métricas'!$A$5:$A$28,0)),L7&lt;&gt;INDEX('Métricas'!$L$5:$L$28,MATCH(A7,'Métricas'!$A$5:$A$28,0)),N7&lt;&gt;INDEX('Métricas'!$H$5:$H$28,MATCH(A7,'Métricas'!$A$5:$A$28,0))),"CONTEXTO INCOMPATIBLE",IF(OR(R7&lt;=INDEX('Métricas'!$I$5:$I$28,MATCH(A7,'Métricas'!$A$5:$A$28,0)),S7&lt;=INDEX('Métricas'!$J$5:$J$28,MATCH(A7,'Métricas'!$A$5:$A$28,0))),"COMPATIBLE","FUERA DE TOLERANCIA")))</x:f>
        <x:v>PENDIENTE</x:v>
      </x:c>
    </x:row>
    <x:row r="8">
      <x:c r="A8" s="79" t="str">
        <x:v>AXC-BMK-ISO-001|one-way.governing-demand</x:v>
      </x:c>
      <x:c r="B8" s="79" t="str">
        <x:v>isolated</x:v>
      </x:c>
      <x:c r="C8" s="79" t="str">
        <x:v>Zapata aislada</x:v>
      </x:c>
      <x:c r="D8" s="79" t="str">
        <x:v>AXC-BMK-ISO-001</x:v>
      </x:c>
      <x:c r="E8" s="79" t="str">
        <x:v>one-way.governing-demand</x:v>
      </x:c>
      <x:c r="F8" s="79" t="str">
        <x:v>Referencia pública</x:v>
      </x:c>
      <x:c r="G8" s="79" t="str">
        <x:v>public-reference</x:v>
      </x:c>
      <x:c r="H8" s="106" t="str"/>
      <x:c r="I8" s="106" t="str"/>
      <x:c r="J8" s="106" t="str"/>
      <x:c r="K8" s="79" t="str">
        <x:v>NEC-2015-GUIDE-TRACEABLE</x:v>
      </x:c>
      <x:c r="L8" s="79" t="str">
        <x:v>AXC-ISO-ASSUMPTIONS-001</x:v>
      </x:c>
      <x:c r="M8" s="107"/>
      <x:c r="N8" s="79" t="str">
        <x:v>kN</x:v>
      </x:c>
      <x:c r="O8" s="106" t="str"/>
      <x:c r="P8" s="108"/>
      <x:c r="Q8" s="106" t="str"/>
      <x:c r="R8" s="80" t="str">
        <x:f>IF(M8="","",ABS(M8-INDEX('Métricas'!$G$5:$G$28,MATCH(A8,'Métricas'!$A$5:$A$28,0))))</x:f>
      </x:c>
      <x:c r="S8" s="88" t="str">
        <x:f>IF(M8="","",R8/MAX(ABS(M8),ABS(INDEX('Métricas'!$G$5:$G$28,MATCH(A8,'Métricas'!$A$5:$A$28,0))),1E-12))</x:f>
      </x:c>
      <x:c r="T8" s="79" t="str">
        <x:f>IF(OR(H8="",I8="",J8="",M8="",O8="",P8="",Q8=""),"PENDIENTE",IF(OR(K8&lt;&gt;INDEX('Métricas'!$K$5:$K$28,MATCH(A8,'Métricas'!$A$5:$A$28,0)),L8&lt;&gt;INDEX('Métricas'!$L$5:$L$28,MATCH(A8,'Métricas'!$A$5:$A$28,0)),N8&lt;&gt;INDEX('Métricas'!$H$5:$H$28,MATCH(A8,'Métricas'!$A$5:$A$28,0))),"CONTEXTO INCOMPATIBLE",IF(OR(R8&lt;=INDEX('Métricas'!$I$5:$I$28,MATCH(A8,'Métricas'!$A$5:$A$28,0)),S8&lt;=INDEX('Métricas'!$J$5:$J$28,MATCH(A8,'Métricas'!$A$5:$A$28,0))),"COMPATIBLE","FUERA DE TOLERANCIA")))</x:f>
        <x:v>PENDIENTE</x:v>
      </x:c>
    </x:row>
    <x:row r="9">
      <x:c r="A9" s="79" t="str">
        <x:v>AXC-BMK-ISO-001|one-way.governing-demand</x:v>
      </x:c>
      <x:c r="B9" s="79" t="str">
        <x:v>isolated</x:v>
      </x:c>
      <x:c r="C9" s="79" t="str">
        <x:v>Zapata aislada</x:v>
      </x:c>
      <x:c r="D9" s="79" t="str">
        <x:v>AXC-BMK-ISO-001</x:v>
      </x:c>
      <x:c r="E9" s="79" t="str">
        <x:v>one-way.governing-demand</x:v>
      </x:c>
      <x:c r="F9" s="79" t="str">
        <x:v>Software 1</x:v>
      </x:c>
      <x:c r="G9" s="79" t="str">
        <x:v>software</x:v>
      </x:c>
      <x:c r="H9" s="106" t="str"/>
      <x:c r="I9" s="106" t="str"/>
      <x:c r="J9" s="106" t="str"/>
      <x:c r="K9" s="79" t="str">
        <x:v>NEC-2015-GUIDE-TRACEABLE</x:v>
      </x:c>
      <x:c r="L9" s="79" t="str">
        <x:v>AXC-ISO-ASSUMPTIONS-001</x:v>
      </x:c>
      <x:c r="M9" s="107"/>
      <x:c r="N9" s="79" t="str">
        <x:v>kN</x:v>
      </x:c>
      <x:c r="O9" s="106" t="str"/>
      <x:c r="P9" s="108"/>
      <x:c r="Q9" s="106" t="str"/>
      <x:c r="R9" s="80" t="str">
        <x:f>IF(M9="","",ABS(M9-INDEX('Métricas'!$G$5:$G$28,MATCH(A9,'Métricas'!$A$5:$A$28,0))))</x:f>
      </x:c>
      <x:c r="S9" s="88" t="str">
        <x:f>IF(M9="","",R9/MAX(ABS(M9),ABS(INDEX('Métricas'!$G$5:$G$28,MATCH(A9,'Métricas'!$A$5:$A$28,0))),1E-12))</x:f>
      </x:c>
      <x:c r="T9" s="79" t="str">
        <x:f>IF(OR(H9="",I9="",J9="",M9="",O9="",P9="",Q9=""),"PENDIENTE",IF(OR(K9&lt;&gt;INDEX('Métricas'!$K$5:$K$28,MATCH(A9,'Métricas'!$A$5:$A$28,0)),L9&lt;&gt;INDEX('Métricas'!$L$5:$L$28,MATCH(A9,'Métricas'!$A$5:$A$28,0)),N9&lt;&gt;INDEX('Métricas'!$H$5:$H$28,MATCH(A9,'Métricas'!$A$5:$A$28,0))),"CONTEXTO INCOMPATIBLE",IF(OR(R9&lt;=INDEX('Métricas'!$I$5:$I$28,MATCH(A9,'Métricas'!$A$5:$A$28,0)),S9&lt;=INDEX('Métricas'!$J$5:$J$28,MATCH(A9,'Métricas'!$A$5:$A$28,0))),"COMPATIBLE","FUERA DE TOLERANCIA")))</x:f>
        <x:v>PENDIENTE</x:v>
      </x:c>
    </x:row>
    <x:row r="10">
      <x:c r="A10" s="79" t="str">
        <x:v>AXC-BMK-ISO-001|one-way.governing-demand</x:v>
      </x:c>
      <x:c r="B10" s="79" t="str">
        <x:v>isolated</x:v>
      </x:c>
      <x:c r="C10" s="79" t="str">
        <x:v>Zapata aislada</x:v>
      </x:c>
      <x:c r="D10" s="79" t="str">
        <x:v>AXC-BMK-ISO-001</x:v>
      </x:c>
      <x:c r="E10" s="79" t="str">
        <x:v>one-way.governing-demand</x:v>
      </x:c>
      <x:c r="F10" s="79" t="str">
        <x:v>Software 2</x:v>
      </x:c>
      <x:c r="G10" s="79" t="str">
        <x:v>software</x:v>
      </x:c>
      <x:c r="H10" s="106" t="str"/>
      <x:c r="I10" s="106" t="str"/>
      <x:c r="J10" s="106" t="str"/>
      <x:c r="K10" s="79" t="str">
        <x:v>NEC-2015-GUIDE-TRACEABLE</x:v>
      </x:c>
      <x:c r="L10" s="79" t="str">
        <x:v>AXC-ISO-ASSUMPTIONS-001</x:v>
      </x:c>
      <x:c r="M10" s="107"/>
      <x:c r="N10" s="79" t="str">
        <x:v>kN</x:v>
      </x:c>
      <x:c r="O10" s="106" t="str"/>
      <x:c r="P10" s="108"/>
      <x:c r="Q10" s="106" t="str"/>
      <x:c r="R10" s="80" t="str">
        <x:f>IF(M10="","",ABS(M10-INDEX('Métricas'!$G$5:$G$28,MATCH(A10,'Métricas'!$A$5:$A$28,0))))</x:f>
      </x:c>
      <x:c r="S10" s="88" t="str">
        <x:f>IF(M10="","",R10/MAX(ABS(M10),ABS(INDEX('Métricas'!$G$5:$G$28,MATCH(A10,'Métricas'!$A$5:$A$28,0))),1E-12))</x:f>
      </x:c>
      <x:c r="T10" s="79" t="str">
        <x:f>IF(OR(H10="",I10="",J10="",M10="",O10="",P10="",Q10=""),"PENDIENTE",IF(OR(K10&lt;&gt;INDEX('Métricas'!$K$5:$K$28,MATCH(A10,'Métricas'!$A$5:$A$28,0)),L10&lt;&gt;INDEX('Métricas'!$L$5:$L$28,MATCH(A10,'Métricas'!$A$5:$A$28,0)),N10&lt;&gt;INDEX('Métricas'!$H$5:$H$28,MATCH(A10,'Métricas'!$A$5:$A$28,0))),"CONTEXTO INCOMPATIBLE",IF(OR(R10&lt;=INDEX('Métricas'!$I$5:$I$28,MATCH(A10,'Métricas'!$A$5:$A$28,0)),S10&lt;=INDEX('Métricas'!$J$5:$J$28,MATCH(A10,'Métricas'!$A$5:$A$28,0))),"COMPATIBLE","FUERA DE TOLERANCIA")))</x:f>
        <x:v>PENDIENTE</x:v>
      </x:c>
    </x:row>
    <x:row r="11">
      <x:c r="A11" s="79" t="str">
        <x:v>AXC-BMK-ISO-001|flexure.governing-demand</x:v>
      </x:c>
      <x:c r="B11" s="79" t="str">
        <x:v>isolated</x:v>
      </x:c>
      <x:c r="C11" s="79" t="str">
        <x:v>Zapata aislada</x:v>
      </x:c>
      <x:c r="D11" s="79" t="str">
        <x:v>AXC-BMK-ISO-001</x:v>
      </x:c>
      <x:c r="E11" s="79" t="str">
        <x:v>flexure.governing-demand</x:v>
      </x:c>
      <x:c r="F11" s="79" t="str">
        <x:v>Referencia pública</x:v>
      </x:c>
      <x:c r="G11" s="79" t="str">
        <x:v>public-reference</x:v>
      </x:c>
      <x:c r="H11" s="106" t="str"/>
      <x:c r="I11" s="106" t="str"/>
      <x:c r="J11" s="106" t="str"/>
      <x:c r="K11" s="79" t="str">
        <x:v>NEC-2015-GUIDE-TRACEABLE</x:v>
      </x:c>
      <x:c r="L11" s="79" t="str">
        <x:v>AXC-ISO-ASSUMPTIONS-001</x:v>
      </x:c>
      <x:c r="M11" s="107"/>
      <x:c r="N11" s="79" t="str">
        <x:v>kN·m</x:v>
      </x:c>
      <x:c r="O11" s="106" t="str"/>
      <x:c r="P11" s="108"/>
      <x:c r="Q11" s="106" t="str"/>
      <x:c r="R11" s="80" t="str">
        <x:f>IF(M11="","",ABS(M11-INDEX('Métricas'!$G$5:$G$28,MATCH(A11,'Métricas'!$A$5:$A$28,0))))</x:f>
      </x:c>
      <x:c r="S11" s="88" t="str">
        <x:f>IF(M11="","",R11/MAX(ABS(M11),ABS(INDEX('Métricas'!$G$5:$G$28,MATCH(A11,'Métricas'!$A$5:$A$28,0))),1E-12))</x:f>
      </x:c>
      <x:c r="T11" s="79" t="str">
        <x:f>IF(OR(H11="",I11="",J11="",M11="",O11="",P11="",Q11=""),"PENDIENTE",IF(OR(K11&lt;&gt;INDEX('Métricas'!$K$5:$K$28,MATCH(A11,'Métricas'!$A$5:$A$28,0)),L11&lt;&gt;INDEX('Métricas'!$L$5:$L$28,MATCH(A11,'Métricas'!$A$5:$A$28,0)),N11&lt;&gt;INDEX('Métricas'!$H$5:$H$28,MATCH(A11,'Métricas'!$A$5:$A$28,0))),"CONTEXTO INCOMPATIBLE",IF(OR(R11&lt;=INDEX('Métricas'!$I$5:$I$28,MATCH(A11,'Métricas'!$A$5:$A$28,0)),S11&lt;=INDEX('Métricas'!$J$5:$J$28,MATCH(A11,'Métricas'!$A$5:$A$28,0))),"COMPATIBLE","FUERA DE TOLERANCIA")))</x:f>
        <x:v>PENDIENTE</x:v>
      </x:c>
    </x:row>
    <x:row r="12">
      <x:c r="A12" s="79" t="str">
        <x:v>AXC-BMK-ISO-001|flexure.governing-demand</x:v>
      </x:c>
      <x:c r="B12" s="79" t="str">
        <x:v>isolated</x:v>
      </x:c>
      <x:c r="C12" s="79" t="str">
        <x:v>Zapata aislada</x:v>
      </x:c>
      <x:c r="D12" s="79" t="str">
        <x:v>AXC-BMK-ISO-001</x:v>
      </x:c>
      <x:c r="E12" s="79" t="str">
        <x:v>flexure.governing-demand</x:v>
      </x:c>
      <x:c r="F12" s="79" t="str">
        <x:v>Software 1</x:v>
      </x:c>
      <x:c r="G12" s="79" t="str">
        <x:v>software</x:v>
      </x:c>
      <x:c r="H12" s="106" t="str"/>
      <x:c r="I12" s="106" t="str"/>
      <x:c r="J12" s="106" t="str"/>
      <x:c r="K12" s="79" t="str">
        <x:v>NEC-2015-GUIDE-TRACEABLE</x:v>
      </x:c>
      <x:c r="L12" s="79" t="str">
        <x:v>AXC-ISO-ASSUMPTIONS-001</x:v>
      </x:c>
      <x:c r="M12" s="107"/>
      <x:c r="N12" s="79" t="str">
        <x:v>kN·m</x:v>
      </x:c>
      <x:c r="O12" s="106" t="str"/>
      <x:c r="P12" s="108"/>
      <x:c r="Q12" s="106" t="str"/>
      <x:c r="R12" s="80" t="str">
        <x:f>IF(M12="","",ABS(M12-INDEX('Métricas'!$G$5:$G$28,MATCH(A12,'Métricas'!$A$5:$A$28,0))))</x:f>
      </x:c>
      <x:c r="S12" s="88" t="str">
        <x:f>IF(M12="","",R12/MAX(ABS(M12),ABS(INDEX('Métricas'!$G$5:$G$28,MATCH(A12,'Métricas'!$A$5:$A$28,0))),1E-12))</x:f>
      </x:c>
      <x:c r="T12" s="79" t="str">
        <x:f>IF(OR(H12="",I12="",J12="",M12="",O12="",P12="",Q12=""),"PENDIENTE",IF(OR(K12&lt;&gt;INDEX('Métricas'!$K$5:$K$28,MATCH(A12,'Métricas'!$A$5:$A$28,0)),L12&lt;&gt;INDEX('Métricas'!$L$5:$L$28,MATCH(A12,'Métricas'!$A$5:$A$28,0)),N12&lt;&gt;INDEX('Métricas'!$H$5:$H$28,MATCH(A12,'Métricas'!$A$5:$A$28,0))),"CONTEXTO INCOMPATIBLE",IF(OR(R12&lt;=INDEX('Métricas'!$I$5:$I$28,MATCH(A12,'Métricas'!$A$5:$A$28,0)),S12&lt;=INDEX('Métricas'!$J$5:$J$28,MATCH(A12,'Métricas'!$A$5:$A$28,0))),"COMPATIBLE","FUERA DE TOLERANCIA")))</x:f>
        <x:v>PENDIENTE</x:v>
      </x:c>
    </x:row>
    <x:row r="13">
      <x:c r="A13" s="79" t="str">
        <x:v>AXC-BMK-ISO-001|flexure.governing-demand</x:v>
      </x:c>
      <x:c r="B13" s="79" t="str">
        <x:v>isolated</x:v>
      </x:c>
      <x:c r="C13" s="79" t="str">
        <x:v>Zapata aislada</x:v>
      </x:c>
      <x:c r="D13" s="79" t="str">
        <x:v>AXC-BMK-ISO-001</x:v>
      </x:c>
      <x:c r="E13" s="79" t="str">
        <x:v>flexure.governing-demand</x:v>
      </x:c>
      <x:c r="F13" s="79" t="str">
        <x:v>Software 2</x:v>
      </x:c>
      <x:c r="G13" s="79" t="str">
        <x:v>software</x:v>
      </x:c>
      <x:c r="H13" s="106" t="str"/>
      <x:c r="I13" s="106" t="str"/>
      <x:c r="J13" s="106" t="str"/>
      <x:c r="K13" s="79" t="str">
        <x:v>NEC-2015-GUIDE-TRACEABLE</x:v>
      </x:c>
      <x:c r="L13" s="79" t="str">
        <x:v>AXC-ISO-ASSUMPTIONS-001</x:v>
      </x:c>
      <x:c r="M13" s="107"/>
      <x:c r="N13" s="79" t="str">
        <x:v>kN·m</x:v>
      </x:c>
      <x:c r="O13" s="106" t="str"/>
      <x:c r="P13" s="108"/>
      <x:c r="Q13" s="106" t="str"/>
      <x:c r="R13" s="80" t="str">
        <x:f>IF(M13="","",ABS(M13-INDEX('Métricas'!$G$5:$G$28,MATCH(A13,'Métricas'!$A$5:$A$28,0))))</x:f>
      </x:c>
      <x:c r="S13" s="88" t="str">
        <x:f>IF(M13="","",R13/MAX(ABS(M13),ABS(INDEX('Métricas'!$G$5:$G$28,MATCH(A13,'Métricas'!$A$5:$A$28,0))),1E-12))</x:f>
      </x:c>
      <x:c r="T13" s="79" t="str">
        <x:f>IF(OR(H13="",I13="",J13="",M13="",O13="",P13="",Q13=""),"PENDIENTE",IF(OR(K13&lt;&gt;INDEX('Métricas'!$K$5:$K$28,MATCH(A13,'Métricas'!$A$5:$A$28,0)),L13&lt;&gt;INDEX('Métricas'!$L$5:$L$28,MATCH(A13,'Métricas'!$A$5:$A$28,0)),N13&lt;&gt;INDEX('Métricas'!$H$5:$H$28,MATCH(A13,'Métricas'!$A$5:$A$28,0))),"CONTEXTO INCOMPATIBLE",IF(OR(R13&lt;=INDEX('Métricas'!$I$5:$I$28,MATCH(A13,'Métricas'!$A$5:$A$28,0)),S13&lt;=INDEX('Métricas'!$J$5:$J$28,MATCH(A13,'Métricas'!$A$5:$A$28,0))),"COMPATIBLE","FUERA DE TOLERANCIA")))</x:f>
        <x:v>PENDIENTE</x:v>
      </x:c>
    </x:row>
    <x:row r="14">
      <x:c r="A14" s="79" t="str">
        <x:v>AXC-BMK-STRIP-001|contact.gross-pressure</x:v>
      </x:c>
      <x:c r="B14" s="79" t="str">
        <x:v>strip</x:v>
      </x:c>
      <x:c r="C14" s="79" t="str">
        <x:v>Zapata corrida</x:v>
      </x:c>
      <x:c r="D14" s="79" t="str">
        <x:v>AXC-BMK-STRIP-001</x:v>
      </x:c>
      <x:c r="E14" s="79" t="str">
        <x:v>contact.gross-pressure</x:v>
      </x:c>
      <x:c r="F14" s="79" t="str">
        <x:v>Referencia pública</x:v>
      </x:c>
      <x:c r="G14" s="79" t="str">
        <x:v>public-reference</x:v>
      </x:c>
      <x:c r="H14" s="106" t="str"/>
      <x:c r="I14" s="106" t="str"/>
      <x:c r="J14" s="106" t="str"/>
      <x:c r="K14" s="79" t="str">
        <x:v>NEC-2015-GUIDE-TRACEABLE</x:v>
      </x:c>
      <x:c r="L14" s="79" t="str">
        <x:v>AXC-STRIP-ASSUMPTIONS-001</x:v>
      </x:c>
      <x:c r="M14" s="107"/>
      <x:c r="N14" s="79" t="str">
        <x:v>kPa</x:v>
      </x:c>
      <x:c r="O14" s="106" t="str"/>
      <x:c r="P14" s="108"/>
      <x:c r="Q14" s="106" t="str"/>
      <x:c r="R14" s="80" t="str">
        <x:f>IF(M14="","",ABS(M14-INDEX('Métricas'!$G$5:$G$28,MATCH(A14,'Métricas'!$A$5:$A$28,0))))</x:f>
      </x:c>
      <x:c r="S14" s="88" t="str">
        <x:f>IF(M14="","",R14/MAX(ABS(M14),ABS(INDEX('Métricas'!$G$5:$G$28,MATCH(A14,'Métricas'!$A$5:$A$28,0))),1E-12))</x:f>
      </x:c>
      <x:c r="T14" s="79" t="str">
        <x:f>IF(OR(H14="",I14="",J14="",M14="",O14="",P14="",Q14=""),"PENDIENTE",IF(OR(K14&lt;&gt;INDEX('Métricas'!$K$5:$K$28,MATCH(A14,'Métricas'!$A$5:$A$28,0)),L14&lt;&gt;INDEX('Métricas'!$L$5:$L$28,MATCH(A14,'Métricas'!$A$5:$A$28,0)),N14&lt;&gt;INDEX('Métricas'!$H$5:$H$28,MATCH(A14,'Métricas'!$A$5:$A$28,0))),"CONTEXTO INCOMPATIBLE",IF(OR(R14&lt;=INDEX('Métricas'!$I$5:$I$28,MATCH(A14,'Métricas'!$A$5:$A$28,0)),S14&lt;=INDEX('Métricas'!$J$5:$J$28,MATCH(A14,'Métricas'!$A$5:$A$28,0))),"COMPATIBLE","FUERA DE TOLERANCIA")))</x:f>
        <x:v>PENDIENTE</x:v>
      </x:c>
    </x:row>
    <x:row r="15">
      <x:c r="A15" s="79" t="str">
        <x:v>AXC-BMK-STRIP-001|contact.gross-pressure</x:v>
      </x:c>
      <x:c r="B15" s="79" t="str">
        <x:v>strip</x:v>
      </x:c>
      <x:c r="C15" s="79" t="str">
        <x:v>Zapata corrida</x:v>
      </x:c>
      <x:c r="D15" s="79" t="str">
        <x:v>AXC-BMK-STRIP-001</x:v>
      </x:c>
      <x:c r="E15" s="79" t="str">
        <x:v>contact.gross-pressure</x:v>
      </x:c>
      <x:c r="F15" s="79" t="str">
        <x:v>Software 1</x:v>
      </x:c>
      <x:c r="G15" s="79" t="str">
        <x:v>software</x:v>
      </x:c>
      <x:c r="H15" s="106" t="str"/>
      <x:c r="I15" s="106" t="str"/>
      <x:c r="J15" s="106" t="str"/>
      <x:c r="K15" s="79" t="str">
        <x:v>NEC-2015-GUIDE-TRACEABLE</x:v>
      </x:c>
      <x:c r="L15" s="79" t="str">
        <x:v>AXC-STRIP-ASSUMPTIONS-001</x:v>
      </x:c>
      <x:c r="M15" s="107"/>
      <x:c r="N15" s="79" t="str">
        <x:v>kPa</x:v>
      </x:c>
      <x:c r="O15" s="106" t="str"/>
      <x:c r="P15" s="108"/>
      <x:c r="Q15" s="106" t="str"/>
      <x:c r="R15" s="80" t="str">
        <x:f>IF(M15="","",ABS(M15-INDEX('Métricas'!$G$5:$G$28,MATCH(A15,'Métricas'!$A$5:$A$28,0))))</x:f>
      </x:c>
      <x:c r="S15" s="88" t="str">
        <x:f>IF(M15="","",R15/MAX(ABS(M15),ABS(INDEX('Métricas'!$G$5:$G$28,MATCH(A15,'Métricas'!$A$5:$A$28,0))),1E-12))</x:f>
      </x:c>
      <x:c r="T15" s="79" t="str">
        <x:f>IF(OR(H15="",I15="",J15="",M15="",O15="",P15="",Q15=""),"PENDIENTE",IF(OR(K15&lt;&gt;INDEX('Métricas'!$K$5:$K$28,MATCH(A15,'Métricas'!$A$5:$A$28,0)),L15&lt;&gt;INDEX('Métricas'!$L$5:$L$28,MATCH(A15,'Métricas'!$A$5:$A$28,0)),N15&lt;&gt;INDEX('Métricas'!$H$5:$H$28,MATCH(A15,'Métricas'!$A$5:$A$28,0))),"CONTEXTO INCOMPATIBLE",IF(OR(R15&lt;=INDEX('Métricas'!$I$5:$I$28,MATCH(A15,'Métricas'!$A$5:$A$28,0)),S15&lt;=INDEX('Métricas'!$J$5:$J$28,MATCH(A15,'Métricas'!$A$5:$A$28,0))),"COMPATIBLE","FUERA DE TOLERANCIA")))</x:f>
        <x:v>PENDIENTE</x:v>
      </x:c>
    </x:row>
    <x:row r="16">
      <x:c r="A16" s="79" t="str">
        <x:v>AXC-BMK-STRIP-001|contact.gross-pressure</x:v>
      </x:c>
      <x:c r="B16" s="79" t="str">
        <x:v>strip</x:v>
      </x:c>
      <x:c r="C16" s="79" t="str">
        <x:v>Zapata corrida</x:v>
      </x:c>
      <x:c r="D16" s="79" t="str">
        <x:v>AXC-BMK-STRIP-001</x:v>
      </x:c>
      <x:c r="E16" s="79" t="str">
        <x:v>contact.gross-pressure</x:v>
      </x:c>
      <x:c r="F16" s="79" t="str">
        <x:v>Software 2</x:v>
      </x:c>
      <x:c r="G16" s="79" t="str">
        <x:v>software</x:v>
      </x:c>
      <x:c r="H16" s="106" t="str"/>
      <x:c r="I16" s="106" t="str"/>
      <x:c r="J16" s="106" t="str"/>
      <x:c r="K16" s="79" t="str">
        <x:v>NEC-2015-GUIDE-TRACEABLE</x:v>
      </x:c>
      <x:c r="L16" s="79" t="str">
        <x:v>AXC-STRIP-ASSUMPTIONS-001</x:v>
      </x:c>
      <x:c r="M16" s="107"/>
      <x:c r="N16" s="79" t="str">
        <x:v>kPa</x:v>
      </x:c>
      <x:c r="O16" s="106" t="str"/>
      <x:c r="P16" s="108"/>
      <x:c r="Q16" s="106" t="str"/>
      <x:c r="R16" s="80" t="str">
        <x:f>IF(M16="","",ABS(M16-INDEX('Métricas'!$G$5:$G$28,MATCH(A16,'Métricas'!$A$5:$A$28,0))))</x:f>
      </x:c>
      <x:c r="S16" s="88" t="str">
        <x:f>IF(M16="","",R16/MAX(ABS(M16),ABS(INDEX('Métricas'!$G$5:$G$28,MATCH(A16,'Métricas'!$A$5:$A$28,0))),1E-12))</x:f>
      </x:c>
      <x:c r="T16" s="79" t="str">
        <x:f>IF(OR(H16="",I16="",J16="",M16="",O16="",P16="",Q16=""),"PENDIENTE",IF(OR(K16&lt;&gt;INDEX('Métricas'!$K$5:$K$28,MATCH(A16,'Métricas'!$A$5:$A$28,0)),L16&lt;&gt;INDEX('Métricas'!$L$5:$L$28,MATCH(A16,'Métricas'!$A$5:$A$28,0)),N16&lt;&gt;INDEX('Métricas'!$H$5:$H$28,MATCH(A16,'Métricas'!$A$5:$A$28,0))),"CONTEXTO INCOMPATIBLE",IF(OR(R16&lt;=INDEX('Métricas'!$I$5:$I$28,MATCH(A16,'Métricas'!$A$5:$A$28,0)),S16&lt;=INDEX('Métricas'!$J$5:$J$28,MATCH(A16,'Métricas'!$A$5:$A$28,0))),"COMPATIBLE","FUERA DE TOLERANCIA")))</x:f>
        <x:v>PENDIENTE</x:v>
      </x:c>
    </x:row>
    <x:row r="17">
      <x:c r="A17" s="79" t="str">
        <x:v>AXC-BMK-STRIP-001|one-way.demand</x:v>
      </x:c>
      <x:c r="B17" s="79" t="str">
        <x:v>strip</x:v>
      </x:c>
      <x:c r="C17" s="79" t="str">
        <x:v>Zapata corrida</x:v>
      </x:c>
      <x:c r="D17" s="79" t="str">
        <x:v>AXC-BMK-STRIP-001</x:v>
      </x:c>
      <x:c r="E17" s="79" t="str">
        <x:v>one-way.demand</x:v>
      </x:c>
      <x:c r="F17" s="79" t="str">
        <x:v>Referencia pública</x:v>
      </x:c>
      <x:c r="G17" s="79" t="str">
        <x:v>public-reference</x:v>
      </x:c>
      <x:c r="H17" s="106" t="str"/>
      <x:c r="I17" s="106" t="str"/>
      <x:c r="J17" s="106" t="str"/>
      <x:c r="K17" s="79" t="str">
        <x:v>NEC-2015-GUIDE-TRACEABLE</x:v>
      </x:c>
      <x:c r="L17" s="79" t="str">
        <x:v>AXC-STRIP-ASSUMPTIONS-001</x:v>
      </x:c>
      <x:c r="M17" s="107"/>
      <x:c r="N17" s="79" t="str">
        <x:v>kN/m</x:v>
      </x:c>
      <x:c r="O17" s="106" t="str"/>
      <x:c r="P17" s="108"/>
      <x:c r="Q17" s="106" t="str"/>
      <x:c r="R17" s="80" t="str">
        <x:f>IF(M17="","",ABS(M17-INDEX('Métricas'!$G$5:$G$28,MATCH(A17,'Métricas'!$A$5:$A$28,0))))</x:f>
      </x:c>
      <x:c r="S17" s="88" t="str">
        <x:f>IF(M17="","",R17/MAX(ABS(M17),ABS(INDEX('Métricas'!$G$5:$G$28,MATCH(A17,'Métricas'!$A$5:$A$28,0))),1E-12))</x:f>
      </x:c>
      <x:c r="T17" s="79" t="str">
        <x:f>IF(OR(H17="",I17="",J17="",M17="",O17="",P17="",Q17=""),"PENDIENTE",IF(OR(K17&lt;&gt;INDEX('Métricas'!$K$5:$K$28,MATCH(A17,'Métricas'!$A$5:$A$28,0)),L17&lt;&gt;INDEX('Métricas'!$L$5:$L$28,MATCH(A17,'Métricas'!$A$5:$A$28,0)),N17&lt;&gt;INDEX('Métricas'!$H$5:$H$28,MATCH(A17,'Métricas'!$A$5:$A$28,0))),"CONTEXTO INCOMPATIBLE",IF(OR(R17&lt;=INDEX('Métricas'!$I$5:$I$28,MATCH(A17,'Métricas'!$A$5:$A$28,0)),S17&lt;=INDEX('Métricas'!$J$5:$J$28,MATCH(A17,'Métricas'!$A$5:$A$28,0))),"COMPATIBLE","FUERA DE TOLERANCIA")))</x:f>
        <x:v>PENDIENTE</x:v>
      </x:c>
    </x:row>
    <x:row r="18">
      <x:c r="A18" s="79" t="str">
        <x:v>AXC-BMK-STRIP-001|one-way.demand</x:v>
      </x:c>
      <x:c r="B18" s="79" t="str">
        <x:v>strip</x:v>
      </x:c>
      <x:c r="C18" s="79" t="str">
        <x:v>Zapata corrida</x:v>
      </x:c>
      <x:c r="D18" s="79" t="str">
        <x:v>AXC-BMK-STRIP-001</x:v>
      </x:c>
      <x:c r="E18" s="79" t="str">
        <x:v>one-way.demand</x:v>
      </x:c>
      <x:c r="F18" s="79" t="str">
        <x:v>Software 1</x:v>
      </x:c>
      <x:c r="G18" s="79" t="str">
        <x:v>software</x:v>
      </x:c>
      <x:c r="H18" s="106" t="str"/>
      <x:c r="I18" s="106" t="str"/>
      <x:c r="J18" s="106" t="str"/>
      <x:c r="K18" s="79" t="str">
        <x:v>NEC-2015-GUIDE-TRACEABLE</x:v>
      </x:c>
      <x:c r="L18" s="79" t="str">
        <x:v>AXC-STRIP-ASSUMPTIONS-001</x:v>
      </x:c>
      <x:c r="M18" s="107"/>
      <x:c r="N18" s="79" t="str">
        <x:v>kN/m</x:v>
      </x:c>
      <x:c r="O18" s="106" t="str"/>
      <x:c r="P18" s="108"/>
      <x:c r="Q18" s="106" t="str"/>
      <x:c r="R18" s="80" t="str">
        <x:f>IF(M18="","",ABS(M18-INDEX('Métricas'!$G$5:$G$28,MATCH(A18,'Métricas'!$A$5:$A$28,0))))</x:f>
      </x:c>
      <x:c r="S18" s="88" t="str">
        <x:f>IF(M18="","",R18/MAX(ABS(M18),ABS(INDEX('Métricas'!$G$5:$G$28,MATCH(A18,'Métricas'!$A$5:$A$28,0))),1E-12))</x:f>
      </x:c>
      <x:c r="T18" s="79" t="str">
        <x:f>IF(OR(H18="",I18="",J18="",M18="",O18="",P18="",Q18=""),"PENDIENTE",IF(OR(K18&lt;&gt;INDEX('Métricas'!$K$5:$K$28,MATCH(A18,'Métricas'!$A$5:$A$28,0)),L18&lt;&gt;INDEX('Métricas'!$L$5:$L$28,MATCH(A18,'Métricas'!$A$5:$A$28,0)),N18&lt;&gt;INDEX('Métricas'!$H$5:$H$28,MATCH(A18,'Métricas'!$A$5:$A$28,0))),"CONTEXTO INCOMPATIBLE",IF(OR(R18&lt;=INDEX('Métricas'!$I$5:$I$28,MATCH(A18,'Métricas'!$A$5:$A$28,0)),S18&lt;=INDEX('Métricas'!$J$5:$J$28,MATCH(A18,'Métricas'!$A$5:$A$28,0))),"COMPATIBLE","FUERA DE TOLERANCIA")))</x:f>
        <x:v>PENDIENTE</x:v>
      </x:c>
    </x:row>
    <x:row r="19">
      <x:c r="A19" s="79" t="str">
        <x:v>AXC-BMK-STRIP-001|one-way.demand</x:v>
      </x:c>
      <x:c r="B19" s="79" t="str">
        <x:v>strip</x:v>
      </x:c>
      <x:c r="C19" s="79" t="str">
        <x:v>Zapata corrida</x:v>
      </x:c>
      <x:c r="D19" s="79" t="str">
        <x:v>AXC-BMK-STRIP-001</x:v>
      </x:c>
      <x:c r="E19" s="79" t="str">
        <x:v>one-way.demand</x:v>
      </x:c>
      <x:c r="F19" s="79" t="str">
        <x:v>Software 2</x:v>
      </x:c>
      <x:c r="G19" s="79" t="str">
        <x:v>software</x:v>
      </x:c>
      <x:c r="H19" s="106" t="str"/>
      <x:c r="I19" s="106" t="str"/>
      <x:c r="J19" s="106" t="str"/>
      <x:c r="K19" s="79" t="str">
        <x:v>NEC-2015-GUIDE-TRACEABLE</x:v>
      </x:c>
      <x:c r="L19" s="79" t="str">
        <x:v>AXC-STRIP-ASSUMPTIONS-001</x:v>
      </x:c>
      <x:c r="M19" s="107"/>
      <x:c r="N19" s="79" t="str">
        <x:v>kN/m</x:v>
      </x:c>
      <x:c r="O19" s="106" t="str"/>
      <x:c r="P19" s="108"/>
      <x:c r="Q19" s="106" t="str"/>
      <x:c r="R19" s="80" t="str">
        <x:f>IF(M19="","",ABS(M19-INDEX('Métricas'!$G$5:$G$28,MATCH(A19,'Métricas'!$A$5:$A$28,0))))</x:f>
      </x:c>
      <x:c r="S19" s="88" t="str">
        <x:f>IF(M19="","",R19/MAX(ABS(M19),ABS(INDEX('Métricas'!$G$5:$G$28,MATCH(A19,'Métricas'!$A$5:$A$28,0))),1E-12))</x:f>
      </x:c>
      <x:c r="T19" s="79" t="str">
        <x:f>IF(OR(H19="",I19="",J19="",M19="",O19="",P19="",Q19=""),"PENDIENTE",IF(OR(K19&lt;&gt;INDEX('Métricas'!$K$5:$K$28,MATCH(A19,'Métricas'!$A$5:$A$28,0)),L19&lt;&gt;INDEX('Métricas'!$L$5:$L$28,MATCH(A19,'Métricas'!$A$5:$A$28,0)),N19&lt;&gt;INDEX('Métricas'!$H$5:$H$28,MATCH(A19,'Métricas'!$A$5:$A$28,0))),"CONTEXTO INCOMPATIBLE",IF(OR(R19&lt;=INDEX('Métricas'!$I$5:$I$28,MATCH(A19,'Métricas'!$A$5:$A$28,0)),S19&lt;=INDEX('Métricas'!$J$5:$J$28,MATCH(A19,'Métricas'!$A$5:$A$28,0))),"COMPATIBLE","FUERA DE TOLERANCIA")))</x:f>
        <x:v>PENDIENTE</x:v>
      </x:c>
    </x:row>
    <x:row r="20">
      <x:c r="A20" s="79" t="str">
        <x:v>AXC-BMK-STRIP-001|flexure.demand</x:v>
      </x:c>
      <x:c r="B20" s="79" t="str">
        <x:v>strip</x:v>
      </x:c>
      <x:c r="C20" s="79" t="str">
        <x:v>Zapata corrida</x:v>
      </x:c>
      <x:c r="D20" s="79" t="str">
        <x:v>AXC-BMK-STRIP-001</x:v>
      </x:c>
      <x:c r="E20" s="79" t="str">
        <x:v>flexure.demand</x:v>
      </x:c>
      <x:c r="F20" s="79" t="str">
        <x:v>Referencia pública</x:v>
      </x:c>
      <x:c r="G20" s="79" t="str">
        <x:v>public-reference</x:v>
      </x:c>
      <x:c r="H20" s="106" t="str"/>
      <x:c r="I20" s="106" t="str"/>
      <x:c r="J20" s="106" t="str"/>
      <x:c r="K20" s="79" t="str">
        <x:v>NEC-2015-GUIDE-TRACEABLE</x:v>
      </x:c>
      <x:c r="L20" s="79" t="str">
        <x:v>AXC-STRIP-ASSUMPTIONS-001</x:v>
      </x:c>
      <x:c r="M20" s="107"/>
      <x:c r="N20" s="79" t="str">
        <x:v>kN·m/m</x:v>
      </x:c>
      <x:c r="O20" s="106" t="str"/>
      <x:c r="P20" s="108"/>
      <x:c r="Q20" s="106" t="str"/>
      <x:c r="R20" s="80" t="str">
        <x:f>IF(M20="","",ABS(M20-INDEX('Métricas'!$G$5:$G$28,MATCH(A20,'Métricas'!$A$5:$A$28,0))))</x:f>
      </x:c>
      <x:c r="S20" s="88" t="str">
        <x:f>IF(M20="","",R20/MAX(ABS(M20),ABS(INDEX('Métricas'!$G$5:$G$28,MATCH(A20,'Métricas'!$A$5:$A$28,0))),1E-12))</x:f>
      </x:c>
      <x:c r="T20" s="79" t="str">
        <x:f>IF(OR(H20="",I20="",J20="",M20="",O20="",P20="",Q20=""),"PENDIENTE",IF(OR(K20&lt;&gt;INDEX('Métricas'!$K$5:$K$28,MATCH(A20,'Métricas'!$A$5:$A$28,0)),L20&lt;&gt;INDEX('Métricas'!$L$5:$L$28,MATCH(A20,'Métricas'!$A$5:$A$28,0)),N20&lt;&gt;INDEX('Métricas'!$H$5:$H$28,MATCH(A20,'Métricas'!$A$5:$A$28,0))),"CONTEXTO INCOMPATIBLE",IF(OR(R20&lt;=INDEX('Métricas'!$I$5:$I$28,MATCH(A20,'Métricas'!$A$5:$A$28,0)),S20&lt;=INDEX('Métricas'!$J$5:$J$28,MATCH(A20,'Métricas'!$A$5:$A$28,0))),"COMPATIBLE","FUERA DE TOLERANCIA")))</x:f>
        <x:v>PENDIENTE</x:v>
      </x:c>
    </x:row>
    <x:row r="21">
      <x:c r="A21" s="79" t="str">
        <x:v>AXC-BMK-STRIP-001|flexure.demand</x:v>
      </x:c>
      <x:c r="B21" s="79" t="str">
        <x:v>strip</x:v>
      </x:c>
      <x:c r="C21" s="79" t="str">
        <x:v>Zapata corrida</x:v>
      </x:c>
      <x:c r="D21" s="79" t="str">
        <x:v>AXC-BMK-STRIP-001</x:v>
      </x:c>
      <x:c r="E21" s="79" t="str">
        <x:v>flexure.demand</x:v>
      </x:c>
      <x:c r="F21" s="79" t="str">
        <x:v>Software 1</x:v>
      </x:c>
      <x:c r="G21" s="79" t="str">
        <x:v>software</x:v>
      </x:c>
      <x:c r="H21" s="106" t="str"/>
      <x:c r="I21" s="106" t="str"/>
      <x:c r="J21" s="106" t="str"/>
      <x:c r="K21" s="79" t="str">
        <x:v>NEC-2015-GUIDE-TRACEABLE</x:v>
      </x:c>
      <x:c r="L21" s="79" t="str">
        <x:v>AXC-STRIP-ASSUMPTIONS-001</x:v>
      </x:c>
      <x:c r="M21" s="107"/>
      <x:c r="N21" s="79" t="str">
        <x:v>kN·m/m</x:v>
      </x:c>
      <x:c r="O21" s="106" t="str"/>
      <x:c r="P21" s="108"/>
      <x:c r="Q21" s="106" t="str"/>
      <x:c r="R21" s="80" t="str">
        <x:f>IF(M21="","",ABS(M21-INDEX('Métricas'!$G$5:$G$28,MATCH(A21,'Métricas'!$A$5:$A$28,0))))</x:f>
      </x:c>
      <x:c r="S21" s="88" t="str">
        <x:f>IF(M21="","",R21/MAX(ABS(M21),ABS(INDEX('Métricas'!$G$5:$G$28,MATCH(A21,'Métricas'!$A$5:$A$28,0))),1E-12))</x:f>
      </x:c>
      <x:c r="T21" s="79" t="str">
        <x:f>IF(OR(H21="",I21="",J21="",M21="",O21="",P21="",Q21=""),"PENDIENTE",IF(OR(K21&lt;&gt;INDEX('Métricas'!$K$5:$K$28,MATCH(A21,'Métricas'!$A$5:$A$28,0)),L21&lt;&gt;INDEX('Métricas'!$L$5:$L$28,MATCH(A21,'Métricas'!$A$5:$A$28,0)),N21&lt;&gt;INDEX('Métricas'!$H$5:$H$28,MATCH(A21,'Métricas'!$A$5:$A$28,0))),"CONTEXTO INCOMPATIBLE",IF(OR(R21&lt;=INDEX('Métricas'!$I$5:$I$28,MATCH(A21,'Métricas'!$A$5:$A$28,0)),S21&lt;=INDEX('Métricas'!$J$5:$J$28,MATCH(A21,'Métricas'!$A$5:$A$28,0))),"COMPATIBLE","FUERA DE TOLERANCIA")))</x:f>
        <x:v>PENDIENTE</x:v>
      </x:c>
    </x:row>
    <x:row r="22">
      <x:c r="A22" s="79" t="str">
        <x:v>AXC-BMK-STRIP-001|flexure.demand</x:v>
      </x:c>
      <x:c r="B22" s="79" t="str">
        <x:v>strip</x:v>
      </x:c>
      <x:c r="C22" s="79" t="str">
        <x:v>Zapata corrida</x:v>
      </x:c>
      <x:c r="D22" s="79" t="str">
        <x:v>AXC-BMK-STRIP-001</x:v>
      </x:c>
      <x:c r="E22" s="79" t="str">
        <x:v>flexure.demand</x:v>
      </x:c>
      <x:c r="F22" s="79" t="str">
        <x:v>Software 2</x:v>
      </x:c>
      <x:c r="G22" s="79" t="str">
        <x:v>software</x:v>
      </x:c>
      <x:c r="H22" s="106" t="str"/>
      <x:c r="I22" s="106" t="str"/>
      <x:c r="J22" s="106" t="str"/>
      <x:c r="K22" s="79" t="str">
        <x:v>NEC-2015-GUIDE-TRACEABLE</x:v>
      </x:c>
      <x:c r="L22" s="79" t="str">
        <x:v>AXC-STRIP-ASSUMPTIONS-001</x:v>
      </x:c>
      <x:c r="M22" s="107"/>
      <x:c r="N22" s="79" t="str">
        <x:v>kN·m/m</x:v>
      </x:c>
      <x:c r="O22" s="106" t="str"/>
      <x:c r="P22" s="108"/>
      <x:c r="Q22" s="106" t="str"/>
      <x:c r="R22" s="80" t="str">
        <x:f>IF(M22="","",ABS(M22-INDEX('Métricas'!$G$5:$G$28,MATCH(A22,'Métricas'!$A$5:$A$28,0))))</x:f>
      </x:c>
      <x:c r="S22" s="88" t="str">
        <x:f>IF(M22="","",R22/MAX(ABS(M22),ABS(INDEX('Métricas'!$G$5:$G$28,MATCH(A22,'Métricas'!$A$5:$A$28,0))),1E-12))</x:f>
      </x:c>
      <x:c r="T22" s="79" t="str">
        <x:f>IF(OR(H22="",I22="",J22="",M22="",O22="",P22="",Q22=""),"PENDIENTE",IF(OR(K22&lt;&gt;INDEX('Métricas'!$K$5:$K$28,MATCH(A22,'Métricas'!$A$5:$A$28,0)),L22&lt;&gt;INDEX('Métricas'!$L$5:$L$28,MATCH(A22,'Métricas'!$A$5:$A$28,0)),N22&lt;&gt;INDEX('Métricas'!$H$5:$H$28,MATCH(A22,'Métricas'!$A$5:$A$28,0))),"CONTEXTO INCOMPATIBLE",IF(OR(R22&lt;=INDEX('Métricas'!$I$5:$I$28,MATCH(A22,'Métricas'!$A$5:$A$28,0)),S22&lt;=INDEX('Métricas'!$J$5:$J$28,MATCH(A22,'Métricas'!$A$5:$A$28,0))),"COMPATIBLE","FUERA DE TOLERANCIA")))</x:f>
        <x:v>PENDIENTE</x:v>
      </x:c>
    </x:row>
    <x:row r="23">
      <x:c r="A23" s="79" t="str">
        <x:v>AXC-BMK-COMBINED-001|contact.gross-left</x:v>
      </x:c>
      <x:c r="B23" s="79" t="str">
        <x:v>combined</x:v>
      </x:c>
      <x:c r="C23" s="79" t="str">
        <x:v>Combinada rectangular</x:v>
      </x:c>
      <x:c r="D23" s="79" t="str">
        <x:v>AXC-BMK-COMBINED-001</x:v>
      </x:c>
      <x:c r="E23" s="79" t="str">
        <x:v>contact.gross-left</x:v>
      </x:c>
      <x:c r="F23" s="79" t="str">
        <x:v>Referencia pública</x:v>
      </x:c>
      <x:c r="G23" s="79" t="str">
        <x:v>public-reference</x:v>
      </x:c>
      <x:c r="H23" s="106" t="str"/>
      <x:c r="I23" s="106" t="str"/>
      <x:c r="J23" s="106" t="str"/>
      <x:c r="K23" s="79" t="str">
        <x:v>NEC-2015-GUIDE-TRACEABLE</x:v>
      </x:c>
      <x:c r="L23" s="79" t="str">
        <x:v>AXC-COMBINED-ASSUMPTIONS-001</x:v>
      </x:c>
      <x:c r="M23" s="107"/>
      <x:c r="N23" s="79" t="str">
        <x:v>kPa</x:v>
      </x:c>
      <x:c r="O23" s="106" t="str"/>
      <x:c r="P23" s="108"/>
      <x:c r="Q23" s="106" t="str"/>
      <x:c r="R23" s="80" t="str">
        <x:f>IF(M23="","",ABS(M23-INDEX('Métricas'!$G$5:$G$28,MATCH(A23,'Métricas'!$A$5:$A$28,0))))</x:f>
      </x:c>
      <x:c r="S23" s="88" t="str">
        <x:f>IF(M23="","",R23/MAX(ABS(M23),ABS(INDEX('Métricas'!$G$5:$G$28,MATCH(A23,'Métricas'!$A$5:$A$28,0))),1E-12))</x:f>
      </x:c>
      <x:c r="T23" s="79" t="str">
        <x:f>IF(OR(H23="",I23="",J23="",M23="",O23="",P23="",Q23=""),"PENDIENTE",IF(OR(K23&lt;&gt;INDEX('Métricas'!$K$5:$K$28,MATCH(A23,'Métricas'!$A$5:$A$28,0)),L23&lt;&gt;INDEX('Métricas'!$L$5:$L$28,MATCH(A23,'Métricas'!$A$5:$A$28,0)),N23&lt;&gt;INDEX('Métricas'!$H$5:$H$28,MATCH(A23,'Métricas'!$A$5:$A$28,0))),"CONTEXTO INCOMPATIBLE",IF(OR(R23&lt;=INDEX('Métricas'!$I$5:$I$28,MATCH(A23,'Métricas'!$A$5:$A$28,0)),S23&lt;=INDEX('Métricas'!$J$5:$J$28,MATCH(A23,'Métricas'!$A$5:$A$28,0))),"COMPATIBLE","FUERA DE TOLERANCIA")))</x:f>
        <x:v>PENDIENTE</x:v>
      </x:c>
    </x:row>
    <x:row r="24">
      <x:c r="A24" s="79" t="str">
        <x:v>AXC-BMK-COMBINED-001|contact.gross-left</x:v>
      </x:c>
      <x:c r="B24" s="79" t="str">
        <x:v>combined</x:v>
      </x:c>
      <x:c r="C24" s="79" t="str">
        <x:v>Combinada rectangular</x:v>
      </x:c>
      <x:c r="D24" s="79" t="str">
        <x:v>AXC-BMK-COMBINED-001</x:v>
      </x:c>
      <x:c r="E24" s="79" t="str">
        <x:v>contact.gross-left</x:v>
      </x:c>
      <x:c r="F24" s="79" t="str">
        <x:v>Software 1</x:v>
      </x:c>
      <x:c r="G24" s="79" t="str">
        <x:v>software</x:v>
      </x:c>
      <x:c r="H24" s="106" t="str"/>
      <x:c r="I24" s="106" t="str"/>
      <x:c r="J24" s="106" t="str"/>
      <x:c r="K24" s="79" t="str">
        <x:v>NEC-2015-GUIDE-TRACEABLE</x:v>
      </x:c>
      <x:c r="L24" s="79" t="str">
        <x:v>AXC-COMBINED-ASSUMPTIONS-001</x:v>
      </x:c>
      <x:c r="M24" s="107"/>
      <x:c r="N24" s="79" t="str">
        <x:v>kPa</x:v>
      </x:c>
      <x:c r="O24" s="106" t="str"/>
      <x:c r="P24" s="108"/>
      <x:c r="Q24" s="106" t="str"/>
      <x:c r="R24" s="80" t="str">
        <x:f>IF(M24="","",ABS(M24-INDEX('Métricas'!$G$5:$G$28,MATCH(A24,'Métricas'!$A$5:$A$28,0))))</x:f>
      </x:c>
      <x:c r="S24" s="88" t="str">
        <x:f>IF(M24="","",R24/MAX(ABS(M24),ABS(INDEX('Métricas'!$G$5:$G$28,MATCH(A24,'Métricas'!$A$5:$A$28,0))),1E-12))</x:f>
      </x:c>
      <x:c r="T24" s="79" t="str">
        <x:f>IF(OR(H24="",I24="",J24="",M24="",O24="",P24="",Q24=""),"PENDIENTE",IF(OR(K24&lt;&gt;INDEX('Métricas'!$K$5:$K$28,MATCH(A24,'Métricas'!$A$5:$A$28,0)),L24&lt;&gt;INDEX('Métricas'!$L$5:$L$28,MATCH(A24,'Métricas'!$A$5:$A$28,0)),N24&lt;&gt;INDEX('Métricas'!$H$5:$H$28,MATCH(A24,'Métricas'!$A$5:$A$28,0))),"CONTEXTO INCOMPATIBLE",IF(OR(R24&lt;=INDEX('Métricas'!$I$5:$I$28,MATCH(A24,'Métricas'!$A$5:$A$28,0)),S24&lt;=INDEX('Métricas'!$J$5:$J$28,MATCH(A24,'Métricas'!$A$5:$A$28,0))),"COMPATIBLE","FUERA DE TOLERANCIA")))</x:f>
        <x:v>PENDIENTE</x:v>
      </x:c>
    </x:row>
    <x:row r="25">
      <x:c r="A25" s="79" t="str">
        <x:v>AXC-BMK-COMBINED-001|contact.gross-left</x:v>
      </x:c>
      <x:c r="B25" s="79" t="str">
        <x:v>combined</x:v>
      </x:c>
      <x:c r="C25" s="79" t="str">
        <x:v>Combinada rectangular</x:v>
      </x:c>
      <x:c r="D25" s="79" t="str">
        <x:v>AXC-BMK-COMBINED-001</x:v>
      </x:c>
      <x:c r="E25" s="79" t="str">
        <x:v>contact.gross-left</x:v>
      </x:c>
      <x:c r="F25" s="79" t="str">
        <x:v>Software 2</x:v>
      </x:c>
      <x:c r="G25" s="79" t="str">
        <x:v>software</x:v>
      </x:c>
      <x:c r="H25" s="106" t="str"/>
      <x:c r="I25" s="106" t="str"/>
      <x:c r="J25" s="106" t="str"/>
      <x:c r="K25" s="79" t="str">
        <x:v>NEC-2015-GUIDE-TRACEABLE</x:v>
      </x:c>
      <x:c r="L25" s="79" t="str">
        <x:v>AXC-COMBINED-ASSUMPTIONS-001</x:v>
      </x:c>
      <x:c r="M25" s="107"/>
      <x:c r="N25" s="79" t="str">
        <x:v>kPa</x:v>
      </x:c>
      <x:c r="O25" s="106" t="str"/>
      <x:c r="P25" s="108"/>
      <x:c r="Q25" s="106" t="str"/>
      <x:c r="R25" s="80" t="str">
        <x:f>IF(M25="","",ABS(M25-INDEX('Métricas'!$G$5:$G$28,MATCH(A25,'Métricas'!$A$5:$A$28,0))))</x:f>
      </x:c>
      <x:c r="S25" s="88" t="str">
        <x:f>IF(M25="","",R25/MAX(ABS(M25),ABS(INDEX('Métricas'!$G$5:$G$28,MATCH(A25,'Métricas'!$A$5:$A$28,0))),1E-12))</x:f>
      </x:c>
      <x:c r="T25" s="79" t="str">
        <x:f>IF(OR(H25="",I25="",J25="",M25="",O25="",P25="",Q25=""),"PENDIENTE",IF(OR(K25&lt;&gt;INDEX('Métricas'!$K$5:$K$28,MATCH(A25,'Métricas'!$A$5:$A$28,0)),L25&lt;&gt;INDEX('Métricas'!$L$5:$L$28,MATCH(A25,'Métricas'!$A$5:$A$28,0)),N25&lt;&gt;INDEX('Métricas'!$H$5:$H$28,MATCH(A25,'Métricas'!$A$5:$A$28,0))),"CONTEXTO INCOMPATIBLE",IF(OR(R25&lt;=INDEX('Métricas'!$I$5:$I$28,MATCH(A25,'Métricas'!$A$5:$A$28,0)),S25&lt;=INDEX('Métricas'!$J$5:$J$28,MATCH(A25,'Métricas'!$A$5:$A$28,0))),"COMPATIBLE","FUERA DE TOLERANCIA")))</x:f>
        <x:v>PENDIENTE</x:v>
      </x:c>
    </x:row>
    <x:row r="26">
      <x:c r="A26" s="79" t="str">
        <x:v>AXC-BMK-COMBINED-001|contact.gross-right</x:v>
      </x:c>
      <x:c r="B26" s="79" t="str">
        <x:v>combined</x:v>
      </x:c>
      <x:c r="C26" s="79" t="str">
        <x:v>Combinada rectangular</x:v>
      </x:c>
      <x:c r="D26" s="79" t="str">
        <x:v>AXC-BMK-COMBINED-001</x:v>
      </x:c>
      <x:c r="E26" s="79" t="str">
        <x:v>contact.gross-right</x:v>
      </x:c>
      <x:c r="F26" s="79" t="str">
        <x:v>Referencia pública</x:v>
      </x:c>
      <x:c r="G26" s="79" t="str">
        <x:v>public-reference</x:v>
      </x:c>
      <x:c r="H26" s="106" t="str"/>
      <x:c r="I26" s="106" t="str"/>
      <x:c r="J26" s="106" t="str"/>
      <x:c r="K26" s="79" t="str">
        <x:v>NEC-2015-GUIDE-TRACEABLE</x:v>
      </x:c>
      <x:c r="L26" s="79" t="str">
        <x:v>AXC-COMBINED-ASSUMPTIONS-001</x:v>
      </x:c>
      <x:c r="M26" s="107"/>
      <x:c r="N26" s="79" t="str">
        <x:v>kPa</x:v>
      </x:c>
      <x:c r="O26" s="106" t="str"/>
      <x:c r="P26" s="108"/>
      <x:c r="Q26" s="106" t="str"/>
      <x:c r="R26" s="80" t="str">
        <x:f>IF(M26="","",ABS(M26-INDEX('Métricas'!$G$5:$G$28,MATCH(A26,'Métricas'!$A$5:$A$28,0))))</x:f>
      </x:c>
      <x:c r="S26" s="88" t="str">
        <x:f>IF(M26="","",R26/MAX(ABS(M26),ABS(INDEX('Métricas'!$G$5:$G$28,MATCH(A26,'Métricas'!$A$5:$A$28,0))),1E-12))</x:f>
      </x:c>
      <x:c r="T26" s="79" t="str">
        <x:f>IF(OR(H26="",I26="",J26="",M26="",O26="",P26="",Q26=""),"PENDIENTE",IF(OR(K26&lt;&gt;INDEX('Métricas'!$K$5:$K$28,MATCH(A26,'Métricas'!$A$5:$A$28,0)),L26&lt;&gt;INDEX('Métricas'!$L$5:$L$28,MATCH(A26,'Métricas'!$A$5:$A$28,0)),N26&lt;&gt;INDEX('Métricas'!$H$5:$H$28,MATCH(A26,'Métricas'!$A$5:$A$28,0))),"CONTEXTO INCOMPATIBLE",IF(OR(R26&lt;=INDEX('Métricas'!$I$5:$I$28,MATCH(A26,'Métricas'!$A$5:$A$28,0)),S26&lt;=INDEX('Métricas'!$J$5:$J$28,MATCH(A26,'Métricas'!$A$5:$A$28,0))),"COMPATIBLE","FUERA DE TOLERANCIA")))</x:f>
        <x:v>PENDIENTE</x:v>
      </x:c>
    </x:row>
    <x:row r="27">
      <x:c r="A27" s="79" t="str">
        <x:v>AXC-BMK-COMBINED-001|contact.gross-right</x:v>
      </x:c>
      <x:c r="B27" s="79" t="str">
        <x:v>combined</x:v>
      </x:c>
      <x:c r="C27" s="79" t="str">
        <x:v>Combinada rectangular</x:v>
      </x:c>
      <x:c r="D27" s="79" t="str">
        <x:v>AXC-BMK-COMBINED-001</x:v>
      </x:c>
      <x:c r="E27" s="79" t="str">
        <x:v>contact.gross-right</x:v>
      </x:c>
      <x:c r="F27" s="79" t="str">
        <x:v>Software 1</x:v>
      </x:c>
      <x:c r="G27" s="79" t="str">
        <x:v>software</x:v>
      </x:c>
      <x:c r="H27" s="106" t="str"/>
      <x:c r="I27" s="106" t="str"/>
      <x:c r="J27" s="106" t="str"/>
      <x:c r="K27" s="79" t="str">
        <x:v>NEC-2015-GUIDE-TRACEABLE</x:v>
      </x:c>
      <x:c r="L27" s="79" t="str">
        <x:v>AXC-COMBINED-ASSUMPTIONS-001</x:v>
      </x:c>
      <x:c r="M27" s="107"/>
      <x:c r="N27" s="79" t="str">
        <x:v>kPa</x:v>
      </x:c>
      <x:c r="O27" s="106" t="str"/>
      <x:c r="P27" s="108"/>
      <x:c r="Q27" s="106" t="str"/>
      <x:c r="R27" s="80" t="str">
        <x:f>IF(M27="","",ABS(M27-INDEX('Métricas'!$G$5:$G$28,MATCH(A27,'Métricas'!$A$5:$A$28,0))))</x:f>
      </x:c>
      <x:c r="S27" s="88" t="str">
        <x:f>IF(M27="","",R27/MAX(ABS(M27),ABS(INDEX('Métricas'!$G$5:$G$28,MATCH(A27,'Métricas'!$A$5:$A$28,0))),1E-12))</x:f>
      </x:c>
      <x:c r="T27" s="79" t="str">
        <x:f>IF(OR(H27="",I27="",J27="",M27="",O27="",P27="",Q27=""),"PENDIENTE",IF(OR(K27&lt;&gt;INDEX('Métricas'!$K$5:$K$28,MATCH(A27,'Métricas'!$A$5:$A$28,0)),L27&lt;&gt;INDEX('Métricas'!$L$5:$L$28,MATCH(A27,'Métricas'!$A$5:$A$28,0)),N27&lt;&gt;INDEX('Métricas'!$H$5:$H$28,MATCH(A27,'Métricas'!$A$5:$A$28,0))),"CONTEXTO INCOMPATIBLE",IF(OR(R27&lt;=INDEX('Métricas'!$I$5:$I$28,MATCH(A27,'Métricas'!$A$5:$A$28,0)),S27&lt;=INDEX('Métricas'!$J$5:$J$28,MATCH(A27,'Métricas'!$A$5:$A$28,0))),"COMPATIBLE","FUERA DE TOLERANCIA")))</x:f>
        <x:v>PENDIENTE</x:v>
      </x:c>
    </x:row>
    <x:row r="28">
      <x:c r="A28" s="79" t="str">
        <x:v>AXC-BMK-COMBINED-001|contact.gross-right</x:v>
      </x:c>
      <x:c r="B28" s="79" t="str">
        <x:v>combined</x:v>
      </x:c>
      <x:c r="C28" s="79" t="str">
        <x:v>Combinada rectangular</x:v>
      </x:c>
      <x:c r="D28" s="79" t="str">
        <x:v>AXC-BMK-COMBINED-001</x:v>
      </x:c>
      <x:c r="E28" s="79" t="str">
        <x:v>contact.gross-right</x:v>
      </x:c>
      <x:c r="F28" s="79" t="str">
        <x:v>Software 2</x:v>
      </x:c>
      <x:c r="G28" s="79" t="str">
        <x:v>software</x:v>
      </x:c>
      <x:c r="H28" s="106" t="str"/>
      <x:c r="I28" s="106" t="str"/>
      <x:c r="J28" s="106" t="str"/>
      <x:c r="K28" s="79" t="str">
        <x:v>NEC-2015-GUIDE-TRACEABLE</x:v>
      </x:c>
      <x:c r="L28" s="79" t="str">
        <x:v>AXC-COMBINED-ASSUMPTIONS-001</x:v>
      </x:c>
      <x:c r="M28" s="107"/>
      <x:c r="N28" s="79" t="str">
        <x:v>kPa</x:v>
      </x:c>
      <x:c r="O28" s="106" t="str"/>
      <x:c r="P28" s="108"/>
      <x:c r="Q28" s="106" t="str"/>
      <x:c r="R28" s="80" t="str">
        <x:f>IF(M28="","",ABS(M28-INDEX('Métricas'!$G$5:$G$28,MATCH(A28,'Métricas'!$A$5:$A$28,0))))</x:f>
      </x:c>
      <x:c r="S28" s="88" t="str">
        <x:f>IF(M28="","",R28/MAX(ABS(M28),ABS(INDEX('Métricas'!$G$5:$G$28,MATCH(A28,'Métricas'!$A$5:$A$28,0))),1E-12))</x:f>
      </x:c>
      <x:c r="T28" s="79" t="str">
        <x:f>IF(OR(H28="",I28="",J28="",M28="",O28="",P28="",Q28=""),"PENDIENTE",IF(OR(K28&lt;&gt;INDEX('Métricas'!$K$5:$K$28,MATCH(A28,'Métricas'!$A$5:$A$28,0)),L28&lt;&gt;INDEX('Métricas'!$L$5:$L$28,MATCH(A28,'Métricas'!$A$5:$A$28,0)),N28&lt;&gt;INDEX('Métricas'!$H$5:$H$28,MATCH(A28,'Métricas'!$A$5:$A$28,0))),"CONTEXTO INCOMPATIBLE",IF(OR(R28&lt;=INDEX('Métricas'!$I$5:$I$28,MATCH(A28,'Métricas'!$A$5:$A$28,0)),S28&lt;=INDEX('Métricas'!$J$5:$J$28,MATCH(A28,'Métricas'!$A$5:$A$28,0))),"COMPATIBLE","FUERA DE TOLERANCIA")))</x:f>
        <x:v>PENDIENTE</x:v>
      </x:c>
    </x:row>
    <x:row r="29">
      <x:c r="A29" s="79" t="str">
        <x:v>AXC-BMK-COMBINED-001|longitudinal.governing-moment</x:v>
      </x:c>
      <x:c r="B29" s="79" t="str">
        <x:v>combined</x:v>
      </x:c>
      <x:c r="C29" s="79" t="str">
        <x:v>Combinada rectangular</x:v>
      </x:c>
      <x:c r="D29" s="79" t="str">
        <x:v>AXC-BMK-COMBINED-001</x:v>
      </x:c>
      <x:c r="E29" s="79" t="str">
        <x:v>longitudinal.governing-moment</x:v>
      </x:c>
      <x:c r="F29" s="79" t="str">
        <x:v>Referencia pública</x:v>
      </x:c>
      <x:c r="G29" s="79" t="str">
        <x:v>public-reference</x:v>
      </x:c>
      <x:c r="H29" s="106" t="str"/>
      <x:c r="I29" s="106" t="str"/>
      <x:c r="J29" s="106" t="str"/>
      <x:c r="K29" s="79" t="str">
        <x:v>NEC-2015-GUIDE-TRACEABLE</x:v>
      </x:c>
      <x:c r="L29" s="79" t="str">
        <x:v>AXC-COMBINED-ASSUMPTIONS-001</x:v>
      </x:c>
      <x:c r="M29" s="107"/>
      <x:c r="N29" s="79" t="str">
        <x:v>kN·m</x:v>
      </x:c>
      <x:c r="O29" s="106" t="str"/>
      <x:c r="P29" s="108"/>
      <x:c r="Q29" s="106" t="str"/>
      <x:c r="R29" s="80" t="str">
        <x:f>IF(M29="","",ABS(M29-INDEX('Métricas'!$G$5:$G$28,MATCH(A29,'Métricas'!$A$5:$A$28,0))))</x:f>
      </x:c>
      <x:c r="S29" s="88" t="str">
        <x:f>IF(M29="","",R29/MAX(ABS(M29),ABS(INDEX('Métricas'!$G$5:$G$28,MATCH(A29,'Métricas'!$A$5:$A$28,0))),1E-12))</x:f>
      </x:c>
      <x:c r="T29" s="79" t="str">
        <x:f>IF(OR(H29="",I29="",J29="",M29="",O29="",P29="",Q29=""),"PENDIENTE",IF(OR(K29&lt;&gt;INDEX('Métricas'!$K$5:$K$28,MATCH(A29,'Métricas'!$A$5:$A$28,0)),L29&lt;&gt;INDEX('Métricas'!$L$5:$L$28,MATCH(A29,'Métricas'!$A$5:$A$28,0)),N29&lt;&gt;INDEX('Métricas'!$H$5:$H$28,MATCH(A29,'Métricas'!$A$5:$A$28,0))),"CONTEXTO INCOMPATIBLE",IF(OR(R29&lt;=INDEX('Métricas'!$I$5:$I$28,MATCH(A29,'Métricas'!$A$5:$A$28,0)),S29&lt;=INDEX('Métricas'!$J$5:$J$28,MATCH(A29,'Métricas'!$A$5:$A$28,0))),"COMPATIBLE","FUERA DE TOLERANCIA")))</x:f>
        <x:v>PENDIENTE</x:v>
      </x:c>
    </x:row>
    <x:row r="30">
      <x:c r="A30" s="79" t="str">
        <x:v>AXC-BMK-COMBINED-001|longitudinal.governing-moment</x:v>
      </x:c>
      <x:c r="B30" s="79" t="str">
        <x:v>combined</x:v>
      </x:c>
      <x:c r="C30" s="79" t="str">
        <x:v>Combinada rectangular</x:v>
      </x:c>
      <x:c r="D30" s="79" t="str">
        <x:v>AXC-BMK-COMBINED-001</x:v>
      </x:c>
      <x:c r="E30" s="79" t="str">
        <x:v>longitudinal.governing-moment</x:v>
      </x:c>
      <x:c r="F30" s="79" t="str">
        <x:v>Software 1</x:v>
      </x:c>
      <x:c r="G30" s="79" t="str">
        <x:v>software</x:v>
      </x:c>
      <x:c r="H30" s="106" t="str"/>
      <x:c r="I30" s="106" t="str"/>
      <x:c r="J30" s="106" t="str"/>
      <x:c r="K30" s="79" t="str">
        <x:v>NEC-2015-GUIDE-TRACEABLE</x:v>
      </x:c>
      <x:c r="L30" s="79" t="str">
        <x:v>AXC-COMBINED-ASSUMPTIONS-001</x:v>
      </x:c>
      <x:c r="M30" s="107"/>
      <x:c r="N30" s="79" t="str">
        <x:v>kN·m</x:v>
      </x:c>
      <x:c r="O30" s="106" t="str"/>
      <x:c r="P30" s="108"/>
      <x:c r="Q30" s="106" t="str"/>
      <x:c r="R30" s="80" t="str">
        <x:f>IF(M30="","",ABS(M30-INDEX('Métricas'!$G$5:$G$28,MATCH(A30,'Métricas'!$A$5:$A$28,0))))</x:f>
      </x:c>
      <x:c r="S30" s="88" t="str">
        <x:f>IF(M30="","",R30/MAX(ABS(M30),ABS(INDEX('Métricas'!$G$5:$G$28,MATCH(A30,'Métricas'!$A$5:$A$28,0))),1E-12))</x:f>
      </x:c>
      <x:c r="T30" s="79" t="str">
        <x:f>IF(OR(H30="",I30="",J30="",M30="",O30="",P30="",Q30=""),"PENDIENTE",IF(OR(K30&lt;&gt;INDEX('Métricas'!$K$5:$K$28,MATCH(A30,'Métricas'!$A$5:$A$28,0)),L30&lt;&gt;INDEX('Métricas'!$L$5:$L$28,MATCH(A30,'Métricas'!$A$5:$A$28,0)),N30&lt;&gt;INDEX('Métricas'!$H$5:$H$28,MATCH(A30,'Métricas'!$A$5:$A$28,0))),"CONTEXTO INCOMPATIBLE",IF(OR(R30&lt;=INDEX('Métricas'!$I$5:$I$28,MATCH(A30,'Métricas'!$A$5:$A$28,0)),S30&lt;=INDEX('Métricas'!$J$5:$J$28,MATCH(A30,'Métricas'!$A$5:$A$28,0))),"COMPATIBLE","FUERA DE TOLERANCIA")))</x:f>
        <x:v>PENDIENTE</x:v>
      </x:c>
    </x:row>
    <x:row r="31">
      <x:c r="A31" s="79" t="str">
        <x:v>AXC-BMK-COMBINED-001|longitudinal.governing-moment</x:v>
      </x:c>
      <x:c r="B31" s="79" t="str">
        <x:v>combined</x:v>
      </x:c>
      <x:c r="C31" s="79" t="str">
        <x:v>Combinada rectangular</x:v>
      </x:c>
      <x:c r="D31" s="79" t="str">
        <x:v>AXC-BMK-COMBINED-001</x:v>
      </x:c>
      <x:c r="E31" s="79" t="str">
        <x:v>longitudinal.governing-moment</x:v>
      </x:c>
      <x:c r="F31" s="79" t="str">
        <x:v>Software 2</x:v>
      </x:c>
      <x:c r="G31" s="79" t="str">
        <x:v>software</x:v>
      </x:c>
      <x:c r="H31" s="106" t="str"/>
      <x:c r="I31" s="106" t="str"/>
      <x:c r="J31" s="106" t="str"/>
      <x:c r="K31" s="79" t="str">
        <x:v>NEC-2015-GUIDE-TRACEABLE</x:v>
      </x:c>
      <x:c r="L31" s="79" t="str">
        <x:v>AXC-COMBINED-ASSUMPTIONS-001</x:v>
      </x:c>
      <x:c r="M31" s="107"/>
      <x:c r="N31" s="79" t="str">
        <x:v>kN·m</x:v>
      </x:c>
      <x:c r="O31" s="106" t="str"/>
      <x:c r="P31" s="108"/>
      <x:c r="Q31" s="106" t="str"/>
      <x:c r="R31" s="80" t="str">
        <x:f>IF(M31="","",ABS(M31-INDEX('Métricas'!$G$5:$G$28,MATCH(A31,'Métricas'!$A$5:$A$28,0))))</x:f>
      </x:c>
      <x:c r="S31" s="88" t="str">
        <x:f>IF(M31="","",R31/MAX(ABS(M31),ABS(INDEX('Métricas'!$G$5:$G$28,MATCH(A31,'Métricas'!$A$5:$A$28,0))),1E-12))</x:f>
      </x:c>
      <x:c r="T31" s="79" t="str">
        <x:f>IF(OR(H31="",I31="",J31="",M31="",O31="",P31="",Q31=""),"PENDIENTE",IF(OR(K31&lt;&gt;INDEX('Métricas'!$K$5:$K$28,MATCH(A31,'Métricas'!$A$5:$A$28,0)),L31&lt;&gt;INDEX('Métricas'!$L$5:$L$28,MATCH(A31,'Métricas'!$A$5:$A$28,0)),N31&lt;&gt;INDEX('Métricas'!$H$5:$H$28,MATCH(A31,'Métricas'!$A$5:$A$28,0))),"CONTEXTO INCOMPATIBLE",IF(OR(R31&lt;=INDEX('Métricas'!$I$5:$I$28,MATCH(A31,'Métricas'!$A$5:$A$28,0)),S31&lt;=INDEX('Métricas'!$J$5:$J$28,MATCH(A31,'Métricas'!$A$5:$A$28,0))),"COMPATIBLE","FUERA DE TOLERANCIA")))</x:f>
        <x:v>PENDIENTE</x:v>
      </x:c>
    </x:row>
    <x:row r="32">
      <x:c r="A32" s="79" t="str">
        <x:v>AXC-BMK-STRAP-001|equilibrium.strap-shear</x:v>
      </x:c>
      <x:c r="B32" s="79" t="str">
        <x:v>strap</x:v>
      </x:c>
      <x:c r="C32" s="79" t="str">
        <x:v>Medianera con viga</x:v>
      </x:c>
      <x:c r="D32" s="79" t="str">
        <x:v>AXC-BMK-STRAP-001</x:v>
      </x:c>
      <x:c r="E32" s="79" t="str">
        <x:v>equilibrium.strap-shear</x:v>
      </x:c>
      <x:c r="F32" s="79" t="str">
        <x:v>Referencia pública</x:v>
      </x:c>
      <x:c r="G32" s="79" t="str">
        <x:v>public-reference</x:v>
      </x:c>
      <x:c r="H32" s="106" t="str"/>
      <x:c r="I32" s="106" t="str"/>
      <x:c r="J32" s="106" t="str"/>
      <x:c r="K32" s="79" t="str">
        <x:v>NEC-2015-GUIDE-TRACEABLE</x:v>
      </x:c>
      <x:c r="L32" s="79" t="str">
        <x:v>AXC-STRAP-ASSUMPTIONS-001</x:v>
      </x:c>
      <x:c r="M32" s="107"/>
      <x:c r="N32" s="79" t="str">
        <x:v>kN</x:v>
      </x:c>
      <x:c r="O32" s="106" t="str"/>
      <x:c r="P32" s="108"/>
      <x:c r="Q32" s="106" t="str"/>
      <x:c r="R32" s="80" t="str">
        <x:f>IF(M32="","",ABS(M32-INDEX('Métricas'!$G$5:$G$28,MATCH(A32,'Métricas'!$A$5:$A$28,0))))</x:f>
      </x:c>
      <x:c r="S32" s="88" t="str">
        <x:f>IF(M32="","",R32/MAX(ABS(M32),ABS(INDEX('Métricas'!$G$5:$G$28,MATCH(A32,'Métricas'!$A$5:$A$28,0))),1E-12))</x:f>
      </x:c>
      <x:c r="T32" s="79" t="str">
        <x:f>IF(OR(H32="",I32="",J32="",M32="",O32="",P32="",Q32=""),"PENDIENTE",IF(OR(K32&lt;&gt;INDEX('Métricas'!$K$5:$K$28,MATCH(A32,'Métricas'!$A$5:$A$28,0)),L32&lt;&gt;INDEX('Métricas'!$L$5:$L$28,MATCH(A32,'Métricas'!$A$5:$A$28,0)),N32&lt;&gt;INDEX('Métricas'!$H$5:$H$28,MATCH(A32,'Métricas'!$A$5:$A$28,0))),"CONTEXTO INCOMPATIBLE",IF(OR(R32&lt;=INDEX('Métricas'!$I$5:$I$28,MATCH(A32,'Métricas'!$A$5:$A$28,0)),S32&lt;=INDEX('Métricas'!$J$5:$J$28,MATCH(A32,'Métricas'!$A$5:$A$28,0))),"COMPATIBLE","FUERA DE TOLERANCIA")))</x:f>
        <x:v>PENDIENTE</x:v>
      </x:c>
    </x:row>
    <x:row r="33">
      <x:c r="A33" s="79" t="str">
        <x:v>AXC-BMK-STRAP-001|equilibrium.strap-shear</x:v>
      </x:c>
      <x:c r="B33" s="79" t="str">
        <x:v>strap</x:v>
      </x:c>
      <x:c r="C33" s="79" t="str">
        <x:v>Medianera con viga</x:v>
      </x:c>
      <x:c r="D33" s="79" t="str">
        <x:v>AXC-BMK-STRAP-001</x:v>
      </x:c>
      <x:c r="E33" s="79" t="str">
        <x:v>equilibrium.strap-shear</x:v>
      </x:c>
      <x:c r="F33" s="79" t="str">
        <x:v>Software 1</x:v>
      </x:c>
      <x:c r="G33" s="79" t="str">
        <x:v>software</x:v>
      </x:c>
      <x:c r="H33" s="106" t="str"/>
      <x:c r="I33" s="106" t="str"/>
      <x:c r="J33" s="106" t="str"/>
      <x:c r="K33" s="79" t="str">
        <x:v>NEC-2015-GUIDE-TRACEABLE</x:v>
      </x:c>
      <x:c r="L33" s="79" t="str">
        <x:v>AXC-STRAP-ASSUMPTIONS-001</x:v>
      </x:c>
      <x:c r="M33" s="107"/>
      <x:c r="N33" s="79" t="str">
        <x:v>kN</x:v>
      </x:c>
      <x:c r="O33" s="106" t="str"/>
      <x:c r="P33" s="108"/>
      <x:c r="Q33" s="106" t="str"/>
      <x:c r="R33" s="80" t="str">
        <x:f>IF(M33="","",ABS(M33-INDEX('Métricas'!$G$5:$G$28,MATCH(A33,'Métricas'!$A$5:$A$28,0))))</x:f>
      </x:c>
      <x:c r="S33" s="88" t="str">
        <x:f>IF(M33="","",R33/MAX(ABS(M33),ABS(INDEX('Métricas'!$G$5:$G$28,MATCH(A33,'Métricas'!$A$5:$A$28,0))),1E-12))</x:f>
      </x:c>
      <x:c r="T33" s="79" t="str">
        <x:f>IF(OR(H33="",I33="",J33="",M33="",O33="",P33="",Q33=""),"PENDIENTE",IF(OR(K33&lt;&gt;INDEX('Métricas'!$K$5:$K$28,MATCH(A33,'Métricas'!$A$5:$A$28,0)),L33&lt;&gt;INDEX('Métricas'!$L$5:$L$28,MATCH(A33,'Métricas'!$A$5:$A$28,0)),N33&lt;&gt;INDEX('Métricas'!$H$5:$H$28,MATCH(A33,'Métricas'!$A$5:$A$28,0))),"CONTEXTO INCOMPATIBLE",IF(OR(R33&lt;=INDEX('Métricas'!$I$5:$I$28,MATCH(A33,'Métricas'!$A$5:$A$28,0)),S33&lt;=INDEX('Métricas'!$J$5:$J$28,MATCH(A33,'Métricas'!$A$5:$A$28,0))),"COMPATIBLE","FUERA DE TOLERANCIA")))</x:f>
        <x:v>PENDIENTE</x:v>
      </x:c>
    </x:row>
    <x:row r="34">
      <x:c r="A34" s="79" t="str">
        <x:v>AXC-BMK-STRAP-001|equilibrium.strap-shear</x:v>
      </x:c>
      <x:c r="B34" s="79" t="str">
        <x:v>strap</x:v>
      </x:c>
      <x:c r="C34" s="79" t="str">
        <x:v>Medianera con viga</x:v>
      </x:c>
      <x:c r="D34" s="79" t="str">
        <x:v>AXC-BMK-STRAP-001</x:v>
      </x:c>
      <x:c r="E34" s="79" t="str">
        <x:v>equilibrium.strap-shear</x:v>
      </x:c>
      <x:c r="F34" s="79" t="str">
        <x:v>Software 2</x:v>
      </x:c>
      <x:c r="G34" s="79" t="str">
        <x:v>software</x:v>
      </x:c>
      <x:c r="H34" s="106" t="str"/>
      <x:c r="I34" s="106" t="str"/>
      <x:c r="J34" s="106" t="str"/>
      <x:c r="K34" s="79" t="str">
        <x:v>NEC-2015-GUIDE-TRACEABLE</x:v>
      </x:c>
      <x:c r="L34" s="79" t="str">
        <x:v>AXC-STRAP-ASSUMPTIONS-001</x:v>
      </x:c>
      <x:c r="M34" s="107"/>
      <x:c r="N34" s="79" t="str">
        <x:v>kN</x:v>
      </x:c>
      <x:c r="O34" s="106" t="str"/>
      <x:c r="P34" s="108"/>
      <x:c r="Q34" s="106" t="str"/>
      <x:c r="R34" s="80" t="str">
        <x:f>IF(M34="","",ABS(M34-INDEX('Métricas'!$G$5:$G$28,MATCH(A34,'Métricas'!$A$5:$A$28,0))))</x:f>
      </x:c>
      <x:c r="S34" s="88" t="str">
        <x:f>IF(M34="","",R34/MAX(ABS(M34),ABS(INDEX('Métricas'!$G$5:$G$28,MATCH(A34,'Métricas'!$A$5:$A$28,0))),1E-12))</x:f>
      </x:c>
      <x:c r="T34" s="79" t="str">
        <x:f>IF(OR(H34="",I34="",J34="",M34="",O34="",P34="",Q34=""),"PENDIENTE",IF(OR(K34&lt;&gt;INDEX('Métricas'!$K$5:$K$28,MATCH(A34,'Métricas'!$A$5:$A$28,0)),L34&lt;&gt;INDEX('Métricas'!$L$5:$L$28,MATCH(A34,'Métricas'!$A$5:$A$28,0)),N34&lt;&gt;INDEX('Métricas'!$H$5:$H$28,MATCH(A34,'Métricas'!$A$5:$A$28,0))),"CONTEXTO INCOMPATIBLE",IF(OR(R34&lt;=INDEX('Métricas'!$I$5:$I$28,MATCH(A34,'Métricas'!$A$5:$A$28,0)),S34&lt;=INDEX('Métricas'!$J$5:$J$28,MATCH(A34,'Métricas'!$A$5:$A$28,0))),"COMPATIBLE","FUERA DE TOLERANCIA")))</x:f>
        <x:v>PENDIENTE</x:v>
      </x:c>
    </x:row>
    <x:row r="35">
      <x:c r="A35" s="79" t="str">
        <x:v>AXC-BMK-STRAP-001|contact.exterior-gross-pressure</x:v>
      </x:c>
      <x:c r="B35" s="79" t="str">
        <x:v>strap</x:v>
      </x:c>
      <x:c r="C35" s="79" t="str">
        <x:v>Medianera con viga</x:v>
      </x:c>
      <x:c r="D35" s="79" t="str">
        <x:v>AXC-BMK-STRAP-001</x:v>
      </x:c>
      <x:c r="E35" s="79" t="str">
        <x:v>contact.exterior-gross-pressure</x:v>
      </x:c>
      <x:c r="F35" s="79" t="str">
        <x:v>Referencia pública</x:v>
      </x:c>
      <x:c r="G35" s="79" t="str">
        <x:v>public-reference</x:v>
      </x:c>
      <x:c r="H35" s="106" t="str"/>
      <x:c r="I35" s="106" t="str"/>
      <x:c r="J35" s="106" t="str"/>
      <x:c r="K35" s="79" t="str">
        <x:v>NEC-2015-GUIDE-TRACEABLE</x:v>
      </x:c>
      <x:c r="L35" s="79" t="str">
        <x:v>AXC-STRAP-ASSUMPTIONS-001</x:v>
      </x:c>
      <x:c r="M35" s="107"/>
      <x:c r="N35" s="79" t="str">
        <x:v>kPa</x:v>
      </x:c>
      <x:c r="O35" s="106" t="str"/>
      <x:c r="P35" s="108"/>
      <x:c r="Q35" s="106" t="str"/>
      <x:c r="R35" s="80" t="str">
        <x:f>IF(M35="","",ABS(M35-INDEX('Métricas'!$G$5:$G$28,MATCH(A35,'Métricas'!$A$5:$A$28,0))))</x:f>
      </x:c>
      <x:c r="S35" s="88" t="str">
        <x:f>IF(M35="","",R35/MAX(ABS(M35),ABS(INDEX('Métricas'!$G$5:$G$28,MATCH(A35,'Métricas'!$A$5:$A$28,0))),1E-12))</x:f>
      </x:c>
      <x:c r="T35" s="79" t="str">
        <x:f>IF(OR(H35="",I35="",J35="",M35="",O35="",P35="",Q35=""),"PENDIENTE",IF(OR(K35&lt;&gt;INDEX('Métricas'!$K$5:$K$28,MATCH(A35,'Métricas'!$A$5:$A$28,0)),L35&lt;&gt;INDEX('Métricas'!$L$5:$L$28,MATCH(A35,'Métricas'!$A$5:$A$28,0)),N35&lt;&gt;INDEX('Métricas'!$H$5:$H$28,MATCH(A35,'Métricas'!$A$5:$A$28,0))),"CONTEXTO INCOMPATIBLE",IF(OR(R35&lt;=INDEX('Métricas'!$I$5:$I$28,MATCH(A35,'Métricas'!$A$5:$A$28,0)),S35&lt;=INDEX('Métricas'!$J$5:$J$28,MATCH(A35,'Métricas'!$A$5:$A$28,0))),"COMPATIBLE","FUERA DE TOLERANCIA")))</x:f>
        <x:v>PENDIENTE</x:v>
      </x:c>
    </x:row>
    <x:row r="36">
      <x:c r="A36" s="79" t="str">
        <x:v>AXC-BMK-STRAP-001|contact.exterior-gross-pressure</x:v>
      </x:c>
      <x:c r="B36" s="79" t="str">
        <x:v>strap</x:v>
      </x:c>
      <x:c r="C36" s="79" t="str">
        <x:v>Medianera con viga</x:v>
      </x:c>
      <x:c r="D36" s="79" t="str">
        <x:v>AXC-BMK-STRAP-001</x:v>
      </x:c>
      <x:c r="E36" s="79" t="str">
        <x:v>contact.exterior-gross-pressure</x:v>
      </x:c>
      <x:c r="F36" s="79" t="str">
        <x:v>Software 1</x:v>
      </x:c>
      <x:c r="G36" s="79" t="str">
        <x:v>software</x:v>
      </x:c>
      <x:c r="H36" s="106" t="str"/>
      <x:c r="I36" s="106" t="str"/>
      <x:c r="J36" s="106" t="str"/>
      <x:c r="K36" s="79" t="str">
        <x:v>NEC-2015-GUIDE-TRACEABLE</x:v>
      </x:c>
      <x:c r="L36" s="79" t="str">
        <x:v>AXC-STRAP-ASSUMPTIONS-001</x:v>
      </x:c>
      <x:c r="M36" s="107"/>
      <x:c r="N36" s="79" t="str">
        <x:v>kPa</x:v>
      </x:c>
      <x:c r="O36" s="106" t="str"/>
      <x:c r="P36" s="108"/>
      <x:c r="Q36" s="106" t="str"/>
      <x:c r="R36" s="80" t="str">
        <x:f>IF(M36="","",ABS(M36-INDEX('Métricas'!$G$5:$G$28,MATCH(A36,'Métricas'!$A$5:$A$28,0))))</x:f>
      </x:c>
      <x:c r="S36" s="88" t="str">
        <x:f>IF(M36="","",R36/MAX(ABS(M36),ABS(INDEX('Métricas'!$G$5:$G$28,MATCH(A36,'Métricas'!$A$5:$A$28,0))),1E-12))</x:f>
      </x:c>
      <x:c r="T36" s="79" t="str">
        <x:f>IF(OR(H36="",I36="",J36="",M36="",O36="",P36="",Q36=""),"PENDIENTE",IF(OR(K36&lt;&gt;INDEX('Métricas'!$K$5:$K$28,MATCH(A36,'Métricas'!$A$5:$A$28,0)),L36&lt;&gt;INDEX('Métricas'!$L$5:$L$28,MATCH(A36,'Métricas'!$A$5:$A$28,0)),N36&lt;&gt;INDEX('Métricas'!$H$5:$H$28,MATCH(A36,'Métricas'!$A$5:$A$28,0))),"CONTEXTO INCOMPATIBLE",IF(OR(R36&lt;=INDEX('Métricas'!$I$5:$I$28,MATCH(A36,'Métricas'!$A$5:$A$28,0)),S36&lt;=INDEX('Métricas'!$J$5:$J$28,MATCH(A36,'Métricas'!$A$5:$A$28,0))),"COMPATIBLE","FUERA DE TOLERANCIA")))</x:f>
        <x:v>PENDIENTE</x:v>
      </x:c>
    </x:row>
    <x:row r="37">
      <x:c r="A37" s="79" t="str">
        <x:v>AXC-BMK-STRAP-001|contact.exterior-gross-pressure</x:v>
      </x:c>
      <x:c r="B37" s="79" t="str">
        <x:v>strap</x:v>
      </x:c>
      <x:c r="C37" s="79" t="str">
        <x:v>Medianera con viga</x:v>
      </x:c>
      <x:c r="D37" s="79" t="str">
        <x:v>AXC-BMK-STRAP-001</x:v>
      </x:c>
      <x:c r="E37" s="79" t="str">
        <x:v>contact.exterior-gross-pressure</x:v>
      </x:c>
      <x:c r="F37" s="79" t="str">
        <x:v>Software 2</x:v>
      </x:c>
      <x:c r="G37" s="79" t="str">
        <x:v>software</x:v>
      </x:c>
      <x:c r="H37" s="106" t="str"/>
      <x:c r="I37" s="106" t="str"/>
      <x:c r="J37" s="106" t="str"/>
      <x:c r="K37" s="79" t="str">
        <x:v>NEC-2015-GUIDE-TRACEABLE</x:v>
      </x:c>
      <x:c r="L37" s="79" t="str">
        <x:v>AXC-STRAP-ASSUMPTIONS-001</x:v>
      </x:c>
      <x:c r="M37" s="107"/>
      <x:c r="N37" s="79" t="str">
        <x:v>kPa</x:v>
      </x:c>
      <x:c r="O37" s="106" t="str"/>
      <x:c r="P37" s="108"/>
      <x:c r="Q37" s="106" t="str"/>
      <x:c r="R37" s="80" t="str">
        <x:f>IF(M37="","",ABS(M37-INDEX('Métricas'!$G$5:$G$28,MATCH(A37,'Métricas'!$A$5:$A$28,0))))</x:f>
      </x:c>
      <x:c r="S37" s="88" t="str">
        <x:f>IF(M37="","",R37/MAX(ABS(M37),ABS(INDEX('Métricas'!$G$5:$G$28,MATCH(A37,'Métricas'!$A$5:$A$28,0))),1E-12))</x:f>
      </x:c>
      <x:c r="T37" s="79" t="str">
        <x:f>IF(OR(H37="",I37="",J37="",M37="",O37="",P37="",Q37=""),"PENDIENTE",IF(OR(K37&lt;&gt;INDEX('Métricas'!$K$5:$K$28,MATCH(A37,'Métricas'!$A$5:$A$28,0)),L37&lt;&gt;INDEX('Métricas'!$L$5:$L$28,MATCH(A37,'Métricas'!$A$5:$A$28,0)),N37&lt;&gt;INDEX('Métricas'!$H$5:$H$28,MATCH(A37,'Métricas'!$A$5:$A$28,0))),"CONTEXTO INCOMPATIBLE",IF(OR(R37&lt;=INDEX('Métricas'!$I$5:$I$28,MATCH(A37,'Métricas'!$A$5:$A$28,0)),S37&lt;=INDEX('Métricas'!$J$5:$J$28,MATCH(A37,'Métricas'!$A$5:$A$28,0))),"COMPATIBLE","FUERA DE TOLERANCIA")))</x:f>
        <x:v>PENDIENTE</x:v>
      </x:c>
    </x:row>
    <x:row r="38">
      <x:c r="A38" s="79" t="str">
        <x:v>AXC-BMK-STRAP-001|contact.interior-gross-pressure</x:v>
      </x:c>
      <x:c r="B38" s="79" t="str">
        <x:v>strap</x:v>
      </x:c>
      <x:c r="C38" s="79" t="str">
        <x:v>Medianera con viga</x:v>
      </x:c>
      <x:c r="D38" s="79" t="str">
        <x:v>AXC-BMK-STRAP-001</x:v>
      </x:c>
      <x:c r="E38" s="79" t="str">
        <x:v>contact.interior-gross-pressure</x:v>
      </x:c>
      <x:c r="F38" s="79" t="str">
        <x:v>Referencia pública</x:v>
      </x:c>
      <x:c r="G38" s="79" t="str">
        <x:v>public-reference</x:v>
      </x:c>
      <x:c r="H38" s="106" t="str"/>
      <x:c r="I38" s="106" t="str"/>
      <x:c r="J38" s="106" t="str"/>
      <x:c r="K38" s="79" t="str">
        <x:v>NEC-2015-GUIDE-TRACEABLE</x:v>
      </x:c>
      <x:c r="L38" s="79" t="str">
        <x:v>AXC-STRAP-ASSUMPTIONS-001</x:v>
      </x:c>
      <x:c r="M38" s="107"/>
      <x:c r="N38" s="79" t="str">
        <x:v>kPa</x:v>
      </x:c>
      <x:c r="O38" s="106" t="str"/>
      <x:c r="P38" s="108"/>
      <x:c r="Q38" s="106" t="str"/>
      <x:c r="R38" s="80" t="str">
        <x:f>IF(M38="","",ABS(M38-INDEX('Métricas'!$G$5:$G$28,MATCH(A38,'Métricas'!$A$5:$A$28,0))))</x:f>
      </x:c>
      <x:c r="S38" s="88" t="str">
        <x:f>IF(M38="","",R38/MAX(ABS(M38),ABS(INDEX('Métricas'!$G$5:$G$28,MATCH(A38,'Métricas'!$A$5:$A$28,0))),1E-12))</x:f>
      </x:c>
      <x:c r="T38" s="79" t="str">
        <x:f>IF(OR(H38="",I38="",J38="",M38="",O38="",P38="",Q38=""),"PENDIENTE",IF(OR(K38&lt;&gt;INDEX('Métricas'!$K$5:$K$28,MATCH(A38,'Métricas'!$A$5:$A$28,0)),L38&lt;&gt;INDEX('Métricas'!$L$5:$L$28,MATCH(A38,'Métricas'!$A$5:$A$28,0)),N38&lt;&gt;INDEX('Métricas'!$H$5:$H$28,MATCH(A38,'Métricas'!$A$5:$A$28,0))),"CONTEXTO INCOMPATIBLE",IF(OR(R38&lt;=INDEX('Métricas'!$I$5:$I$28,MATCH(A38,'Métricas'!$A$5:$A$28,0)),S38&lt;=INDEX('Métricas'!$J$5:$J$28,MATCH(A38,'Métricas'!$A$5:$A$28,0))),"COMPATIBLE","FUERA DE TOLERANCIA")))</x:f>
        <x:v>PENDIENTE</x:v>
      </x:c>
    </x:row>
    <x:row r="39">
      <x:c r="A39" s="79" t="str">
        <x:v>AXC-BMK-STRAP-001|contact.interior-gross-pressure</x:v>
      </x:c>
      <x:c r="B39" s="79" t="str">
        <x:v>strap</x:v>
      </x:c>
      <x:c r="C39" s="79" t="str">
        <x:v>Medianera con viga</x:v>
      </x:c>
      <x:c r="D39" s="79" t="str">
        <x:v>AXC-BMK-STRAP-001</x:v>
      </x:c>
      <x:c r="E39" s="79" t="str">
        <x:v>contact.interior-gross-pressure</x:v>
      </x:c>
      <x:c r="F39" s="79" t="str">
        <x:v>Software 1</x:v>
      </x:c>
      <x:c r="G39" s="79" t="str">
        <x:v>software</x:v>
      </x:c>
      <x:c r="H39" s="106" t="str"/>
      <x:c r="I39" s="106" t="str"/>
      <x:c r="J39" s="106" t="str"/>
      <x:c r="K39" s="79" t="str">
        <x:v>NEC-2015-GUIDE-TRACEABLE</x:v>
      </x:c>
      <x:c r="L39" s="79" t="str">
        <x:v>AXC-STRAP-ASSUMPTIONS-001</x:v>
      </x:c>
      <x:c r="M39" s="107"/>
      <x:c r="N39" s="79" t="str">
        <x:v>kPa</x:v>
      </x:c>
      <x:c r="O39" s="106" t="str"/>
      <x:c r="P39" s="108"/>
      <x:c r="Q39" s="106" t="str"/>
      <x:c r="R39" s="80" t="str">
        <x:f>IF(M39="","",ABS(M39-INDEX('Métricas'!$G$5:$G$28,MATCH(A39,'Métricas'!$A$5:$A$28,0))))</x:f>
      </x:c>
      <x:c r="S39" s="88" t="str">
        <x:f>IF(M39="","",R39/MAX(ABS(M39),ABS(INDEX('Métricas'!$G$5:$G$28,MATCH(A39,'Métricas'!$A$5:$A$28,0))),1E-12))</x:f>
      </x:c>
      <x:c r="T39" s="79" t="str">
        <x:f>IF(OR(H39="",I39="",J39="",M39="",O39="",P39="",Q39=""),"PENDIENTE",IF(OR(K39&lt;&gt;INDEX('Métricas'!$K$5:$K$28,MATCH(A39,'Métricas'!$A$5:$A$28,0)),L39&lt;&gt;INDEX('Métricas'!$L$5:$L$28,MATCH(A39,'Métricas'!$A$5:$A$28,0)),N39&lt;&gt;INDEX('Métricas'!$H$5:$H$28,MATCH(A39,'Métricas'!$A$5:$A$28,0))),"CONTEXTO INCOMPATIBLE",IF(OR(R39&lt;=INDEX('Métricas'!$I$5:$I$28,MATCH(A39,'Métricas'!$A$5:$A$28,0)),S39&lt;=INDEX('Métricas'!$J$5:$J$28,MATCH(A39,'Métricas'!$A$5:$A$28,0))),"COMPATIBLE","FUERA DE TOLERANCIA")))</x:f>
        <x:v>PENDIENTE</x:v>
      </x:c>
    </x:row>
    <x:row r="40">
      <x:c r="A40" s="79" t="str">
        <x:v>AXC-BMK-STRAP-001|contact.interior-gross-pressure</x:v>
      </x:c>
      <x:c r="B40" s="79" t="str">
        <x:v>strap</x:v>
      </x:c>
      <x:c r="C40" s="79" t="str">
        <x:v>Medianera con viga</x:v>
      </x:c>
      <x:c r="D40" s="79" t="str">
        <x:v>AXC-BMK-STRAP-001</x:v>
      </x:c>
      <x:c r="E40" s="79" t="str">
        <x:v>contact.interior-gross-pressure</x:v>
      </x:c>
      <x:c r="F40" s="79" t="str">
        <x:v>Software 2</x:v>
      </x:c>
      <x:c r="G40" s="79" t="str">
        <x:v>software</x:v>
      </x:c>
      <x:c r="H40" s="106" t="str"/>
      <x:c r="I40" s="106" t="str"/>
      <x:c r="J40" s="106" t="str"/>
      <x:c r="K40" s="79" t="str">
        <x:v>NEC-2015-GUIDE-TRACEABLE</x:v>
      </x:c>
      <x:c r="L40" s="79" t="str">
        <x:v>AXC-STRAP-ASSUMPTIONS-001</x:v>
      </x:c>
      <x:c r="M40" s="107"/>
      <x:c r="N40" s="79" t="str">
        <x:v>kPa</x:v>
      </x:c>
      <x:c r="O40" s="106" t="str"/>
      <x:c r="P40" s="108"/>
      <x:c r="Q40" s="106" t="str"/>
      <x:c r="R40" s="80" t="str">
        <x:f>IF(M40="","",ABS(M40-INDEX('Métricas'!$G$5:$G$28,MATCH(A40,'Métricas'!$A$5:$A$28,0))))</x:f>
      </x:c>
      <x:c r="S40" s="88" t="str">
        <x:f>IF(M40="","",R40/MAX(ABS(M40),ABS(INDEX('Métricas'!$G$5:$G$28,MATCH(A40,'Métricas'!$A$5:$A$28,0))),1E-12))</x:f>
      </x:c>
      <x:c r="T40" s="79" t="str">
        <x:f>IF(OR(H40="",I40="",J40="",M40="",O40="",P40="",Q40=""),"PENDIENTE",IF(OR(K40&lt;&gt;INDEX('Métricas'!$K$5:$K$28,MATCH(A40,'Métricas'!$A$5:$A$28,0)),L40&lt;&gt;INDEX('Métricas'!$L$5:$L$28,MATCH(A40,'Métricas'!$A$5:$A$28,0)),N40&lt;&gt;INDEX('Métricas'!$H$5:$H$28,MATCH(A40,'Métricas'!$A$5:$A$28,0))),"CONTEXTO INCOMPATIBLE",IF(OR(R40&lt;=INDEX('Métricas'!$I$5:$I$28,MATCH(A40,'Métricas'!$A$5:$A$28,0)),S40&lt;=INDEX('Métricas'!$J$5:$J$28,MATCH(A40,'Métricas'!$A$5:$A$28,0))),"COMPATIBLE","FUERA DE TOLERANCIA")))</x:f>
        <x:v>PENDIENTE</x:v>
      </x:c>
    </x:row>
    <x:row r="41">
      <x:c r="A41" s="79" t="str">
        <x:v>AXC-BMK-TRAPEZOIDAL-001|geometry.centroid-from-left</x:v>
      </x:c>
      <x:c r="B41" s="79" t="str">
        <x:v>trapezoidal</x:v>
      </x:c>
      <x:c r="C41" s="79" t="str">
        <x:v>Combinada trapezoidal</x:v>
      </x:c>
      <x:c r="D41" s="79" t="str">
        <x:v>AXC-BMK-TRAPEZOIDAL-001</x:v>
      </x:c>
      <x:c r="E41" s="79" t="str">
        <x:v>geometry.centroid-from-left</x:v>
      </x:c>
      <x:c r="F41" s="79" t="str">
        <x:v>Referencia pública</x:v>
      </x:c>
      <x:c r="G41" s="79" t="str">
        <x:v>public-reference</x:v>
      </x:c>
      <x:c r="H41" s="106" t="str"/>
      <x:c r="I41" s="106" t="str"/>
      <x:c r="J41" s="106" t="str"/>
      <x:c r="K41" s="79" t="str">
        <x:v>NEC-2015-GUIDE-TRACEABLE</x:v>
      </x:c>
      <x:c r="L41" s="79" t="str">
        <x:v>AXC-TRAPEZOIDAL-ASSUMPTIONS-001</x:v>
      </x:c>
      <x:c r="M41" s="107"/>
      <x:c r="N41" s="79" t="str">
        <x:v>m</x:v>
      </x:c>
      <x:c r="O41" s="106" t="str"/>
      <x:c r="P41" s="108"/>
      <x:c r="Q41" s="106" t="str"/>
      <x:c r="R41" s="80" t="str">
        <x:f>IF(M41="","",ABS(M41-INDEX('Métricas'!$G$5:$G$28,MATCH(A41,'Métricas'!$A$5:$A$28,0))))</x:f>
      </x:c>
      <x:c r="S41" s="88" t="str">
        <x:f>IF(M41="","",R41/MAX(ABS(M41),ABS(INDEX('Métricas'!$G$5:$G$28,MATCH(A41,'Métricas'!$A$5:$A$28,0))),1E-12))</x:f>
      </x:c>
      <x:c r="T41" s="79" t="str">
        <x:f>IF(OR(H41="",I41="",J41="",M41="",O41="",P41="",Q41=""),"PENDIENTE",IF(OR(K41&lt;&gt;INDEX('Métricas'!$K$5:$K$28,MATCH(A41,'Métricas'!$A$5:$A$28,0)),L41&lt;&gt;INDEX('Métricas'!$L$5:$L$28,MATCH(A41,'Métricas'!$A$5:$A$28,0)),N41&lt;&gt;INDEX('Métricas'!$H$5:$H$28,MATCH(A41,'Métricas'!$A$5:$A$28,0))),"CONTEXTO INCOMPATIBLE",IF(OR(R41&lt;=INDEX('Métricas'!$I$5:$I$28,MATCH(A41,'Métricas'!$A$5:$A$28,0)),S41&lt;=INDEX('Métricas'!$J$5:$J$28,MATCH(A41,'Métricas'!$A$5:$A$28,0))),"COMPATIBLE","FUERA DE TOLERANCIA")))</x:f>
        <x:v>PENDIENTE</x:v>
      </x:c>
    </x:row>
    <x:row r="42">
      <x:c r="A42" s="79" t="str">
        <x:v>AXC-BMK-TRAPEZOIDAL-001|geometry.centroid-from-left</x:v>
      </x:c>
      <x:c r="B42" s="79" t="str">
        <x:v>trapezoidal</x:v>
      </x:c>
      <x:c r="C42" s="79" t="str">
        <x:v>Combinada trapezoidal</x:v>
      </x:c>
      <x:c r="D42" s="79" t="str">
        <x:v>AXC-BMK-TRAPEZOIDAL-001</x:v>
      </x:c>
      <x:c r="E42" s="79" t="str">
        <x:v>geometry.centroid-from-left</x:v>
      </x:c>
      <x:c r="F42" s="79" t="str">
        <x:v>Software 1</x:v>
      </x:c>
      <x:c r="G42" s="79" t="str">
        <x:v>software</x:v>
      </x:c>
      <x:c r="H42" s="106" t="str"/>
      <x:c r="I42" s="106" t="str"/>
      <x:c r="J42" s="106" t="str"/>
      <x:c r="K42" s="79" t="str">
        <x:v>NEC-2015-GUIDE-TRACEABLE</x:v>
      </x:c>
      <x:c r="L42" s="79" t="str">
        <x:v>AXC-TRAPEZOIDAL-ASSUMPTIONS-001</x:v>
      </x:c>
      <x:c r="M42" s="107"/>
      <x:c r="N42" s="79" t="str">
        <x:v>m</x:v>
      </x:c>
      <x:c r="O42" s="106" t="str"/>
      <x:c r="P42" s="108"/>
      <x:c r="Q42" s="106" t="str"/>
      <x:c r="R42" s="80" t="str">
        <x:f>IF(M42="","",ABS(M42-INDEX('Métricas'!$G$5:$G$28,MATCH(A42,'Métricas'!$A$5:$A$28,0))))</x:f>
      </x:c>
      <x:c r="S42" s="88" t="str">
        <x:f>IF(M42="","",R42/MAX(ABS(M42),ABS(INDEX('Métricas'!$G$5:$G$28,MATCH(A42,'Métricas'!$A$5:$A$28,0))),1E-12))</x:f>
      </x:c>
      <x:c r="T42" s="79" t="str">
        <x:f>IF(OR(H42="",I42="",J42="",M42="",O42="",P42="",Q42=""),"PENDIENTE",IF(OR(K42&lt;&gt;INDEX('Métricas'!$K$5:$K$28,MATCH(A42,'Métricas'!$A$5:$A$28,0)),L42&lt;&gt;INDEX('Métricas'!$L$5:$L$28,MATCH(A42,'Métricas'!$A$5:$A$28,0)),N42&lt;&gt;INDEX('Métricas'!$H$5:$H$28,MATCH(A42,'Métricas'!$A$5:$A$28,0))),"CONTEXTO INCOMPATIBLE",IF(OR(R42&lt;=INDEX('Métricas'!$I$5:$I$28,MATCH(A42,'Métricas'!$A$5:$A$28,0)),S42&lt;=INDEX('Métricas'!$J$5:$J$28,MATCH(A42,'Métricas'!$A$5:$A$28,0))),"COMPATIBLE","FUERA DE TOLERANCIA")))</x:f>
        <x:v>PENDIENTE</x:v>
      </x:c>
    </x:row>
    <x:row r="43">
      <x:c r="A43" s="79" t="str">
        <x:v>AXC-BMK-TRAPEZOIDAL-001|geometry.centroid-from-left</x:v>
      </x:c>
      <x:c r="B43" s="79" t="str">
        <x:v>trapezoidal</x:v>
      </x:c>
      <x:c r="C43" s="79" t="str">
        <x:v>Combinada trapezoidal</x:v>
      </x:c>
      <x:c r="D43" s="79" t="str">
        <x:v>AXC-BMK-TRAPEZOIDAL-001</x:v>
      </x:c>
      <x:c r="E43" s="79" t="str">
        <x:v>geometry.centroid-from-left</x:v>
      </x:c>
      <x:c r="F43" s="79" t="str">
        <x:v>Software 2</x:v>
      </x:c>
      <x:c r="G43" s="79" t="str">
        <x:v>software</x:v>
      </x:c>
      <x:c r="H43" s="106" t="str"/>
      <x:c r="I43" s="106" t="str"/>
      <x:c r="J43" s="106" t="str"/>
      <x:c r="K43" s="79" t="str">
        <x:v>NEC-2015-GUIDE-TRACEABLE</x:v>
      </x:c>
      <x:c r="L43" s="79" t="str">
        <x:v>AXC-TRAPEZOIDAL-ASSUMPTIONS-001</x:v>
      </x:c>
      <x:c r="M43" s="107"/>
      <x:c r="N43" s="79" t="str">
        <x:v>m</x:v>
      </x:c>
      <x:c r="O43" s="106" t="str"/>
      <x:c r="P43" s="108"/>
      <x:c r="Q43" s="106" t="str"/>
      <x:c r="R43" s="80" t="str">
        <x:f>IF(M43="","",ABS(M43-INDEX('Métricas'!$G$5:$G$28,MATCH(A43,'Métricas'!$A$5:$A$28,0))))</x:f>
      </x:c>
      <x:c r="S43" s="88" t="str">
        <x:f>IF(M43="","",R43/MAX(ABS(M43),ABS(INDEX('Métricas'!$G$5:$G$28,MATCH(A43,'Métricas'!$A$5:$A$28,0))),1E-12))</x:f>
      </x:c>
      <x:c r="T43" s="79" t="str">
        <x:f>IF(OR(H43="",I43="",J43="",M43="",O43="",P43="",Q43=""),"PENDIENTE",IF(OR(K43&lt;&gt;INDEX('Métricas'!$K$5:$K$28,MATCH(A43,'Métricas'!$A$5:$A$28,0)),L43&lt;&gt;INDEX('Métricas'!$L$5:$L$28,MATCH(A43,'Métricas'!$A$5:$A$28,0)),N43&lt;&gt;INDEX('Métricas'!$H$5:$H$28,MATCH(A43,'Métricas'!$A$5:$A$28,0))),"CONTEXTO INCOMPATIBLE",IF(OR(R43&lt;=INDEX('Métricas'!$I$5:$I$28,MATCH(A43,'Métricas'!$A$5:$A$28,0)),S43&lt;=INDEX('Métricas'!$J$5:$J$28,MATCH(A43,'Métricas'!$A$5:$A$28,0))),"COMPATIBLE","FUERA DE TOLERANCIA")))</x:f>
        <x:v>PENDIENTE</x:v>
      </x:c>
    </x:row>
    <x:row r="44">
      <x:c r="A44" s="79" t="str">
        <x:v>AXC-BMK-TRAPEZOIDAL-001|contact.gross-left</x:v>
      </x:c>
      <x:c r="B44" s="79" t="str">
        <x:v>trapezoidal</x:v>
      </x:c>
      <x:c r="C44" s="79" t="str">
        <x:v>Combinada trapezoidal</x:v>
      </x:c>
      <x:c r="D44" s="79" t="str">
        <x:v>AXC-BMK-TRAPEZOIDAL-001</x:v>
      </x:c>
      <x:c r="E44" s="79" t="str">
        <x:v>contact.gross-left</x:v>
      </x:c>
      <x:c r="F44" s="79" t="str">
        <x:v>Referencia pública</x:v>
      </x:c>
      <x:c r="G44" s="79" t="str">
        <x:v>public-reference</x:v>
      </x:c>
      <x:c r="H44" s="106" t="str"/>
      <x:c r="I44" s="106" t="str"/>
      <x:c r="J44" s="106" t="str"/>
      <x:c r="K44" s="79" t="str">
        <x:v>NEC-2015-GUIDE-TRACEABLE</x:v>
      </x:c>
      <x:c r="L44" s="79" t="str">
        <x:v>AXC-TRAPEZOIDAL-ASSUMPTIONS-001</x:v>
      </x:c>
      <x:c r="M44" s="107"/>
      <x:c r="N44" s="79" t="str">
        <x:v>kPa</x:v>
      </x:c>
      <x:c r="O44" s="106" t="str"/>
      <x:c r="P44" s="108"/>
      <x:c r="Q44" s="106" t="str"/>
      <x:c r="R44" s="80" t="str">
        <x:f>IF(M44="","",ABS(M44-INDEX('Métricas'!$G$5:$G$28,MATCH(A44,'Métricas'!$A$5:$A$28,0))))</x:f>
      </x:c>
      <x:c r="S44" s="88" t="str">
        <x:f>IF(M44="","",R44/MAX(ABS(M44),ABS(INDEX('Métricas'!$G$5:$G$28,MATCH(A44,'Métricas'!$A$5:$A$28,0))),1E-12))</x:f>
      </x:c>
      <x:c r="T44" s="79" t="str">
        <x:f>IF(OR(H44="",I44="",J44="",M44="",O44="",P44="",Q44=""),"PENDIENTE",IF(OR(K44&lt;&gt;INDEX('Métricas'!$K$5:$K$28,MATCH(A44,'Métricas'!$A$5:$A$28,0)),L44&lt;&gt;INDEX('Métricas'!$L$5:$L$28,MATCH(A44,'Métricas'!$A$5:$A$28,0)),N44&lt;&gt;INDEX('Métricas'!$H$5:$H$28,MATCH(A44,'Métricas'!$A$5:$A$28,0))),"CONTEXTO INCOMPATIBLE",IF(OR(R44&lt;=INDEX('Métricas'!$I$5:$I$28,MATCH(A44,'Métricas'!$A$5:$A$28,0)),S44&lt;=INDEX('Métricas'!$J$5:$J$28,MATCH(A44,'Métricas'!$A$5:$A$28,0))),"COMPATIBLE","FUERA DE TOLERANCIA")))</x:f>
        <x:v>PENDIENTE</x:v>
      </x:c>
    </x:row>
    <x:row r="45">
      <x:c r="A45" s="79" t="str">
        <x:v>AXC-BMK-TRAPEZOIDAL-001|contact.gross-left</x:v>
      </x:c>
      <x:c r="B45" s="79" t="str">
        <x:v>trapezoidal</x:v>
      </x:c>
      <x:c r="C45" s="79" t="str">
        <x:v>Combinada trapezoidal</x:v>
      </x:c>
      <x:c r="D45" s="79" t="str">
        <x:v>AXC-BMK-TRAPEZOIDAL-001</x:v>
      </x:c>
      <x:c r="E45" s="79" t="str">
        <x:v>contact.gross-left</x:v>
      </x:c>
      <x:c r="F45" s="79" t="str">
        <x:v>Software 1</x:v>
      </x:c>
      <x:c r="G45" s="79" t="str">
        <x:v>software</x:v>
      </x:c>
      <x:c r="H45" s="106" t="str"/>
      <x:c r="I45" s="106" t="str"/>
      <x:c r="J45" s="106" t="str"/>
      <x:c r="K45" s="79" t="str">
        <x:v>NEC-2015-GUIDE-TRACEABLE</x:v>
      </x:c>
      <x:c r="L45" s="79" t="str">
        <x:v>AXC-TRAPEZOIDAL-ASSUMPTIONS-001</x:v>
      </x:c>
      <x:c r="M45" s="107"/>
      <x:c r="N45" s="79" t="str">
        <x:v>kPa</x:v>
      </x:c>
      <x:c r="O45" s="106" t="str"/>
      <x:c r="P45" s="108"/>
      <x:c r="Q45" s="106" t="str"/>
      <x:c r="R45" s="80" t="str">
        <x:f>IF(M45="","",ABS(M45-INDEX('Métricas'!$G$5:$G$28,MATCH(A45,'Métricas'!$A$5:$A$28,0))))</x:f>
      </x:c>
      <x:c r="S45" s="88" t="str">
        <x:f>IF(M45="","",R45/MAX(ABS(M45),ABS(INDEX('Métricas'!$G$5:$G$28,MATCH(A45,'Métricas'!$A$5:$A$28,0))),1E-12))</x:f>
      </x:c>
      <x:c r="T45" s="79" t="str">
        <x:f>IF(OR(H45="",I45="",J45="",M45="",O45="",P45="",Q45=""),"PENDIENTE",IF(OR(K45&lt;&gt;INDEX('Métricas'!$K$5:$K$28,MATCH(A45,'Métricas'!$A$5:$A$28,0)),L45&lt;&gt;INDEX('Métricas'!$L$5:$L$28,MATCH(A45,'Métricas'!$A$5:$A$28,0)),N45&lt;&gt;INDEX('Métricas'!$H$5:$H$28,MATCH(A45,'Métricas'!$A$5:$A$28,0))),"CONTEXTO INCOMPATIBLE",IF(OR(R45&lt;=INDEX('Métricas'!$I$5:$I$28,MATCH(A45,'Métricas'!$A$5:$A$28,0)),S45&lt;=INDEX('Métricas'!$J$5:$J$28,MATCH(A45,'Métricas'!$A$5:$A$28,0))),"COMPATIBLE","FUERA DE TOLERANCIA")))</x:f>
        <x:v>PENDIENTE</x:v>
      </x:c>
    </x:row>
    <x:row r="46">
      <x:c r="A46" s="79" t="str">
        <x:v>AXC-BMK-TRAPEZOIDAL-001|contact.gross-left</x:v>
      </x:c>
      <x:c r="B46" s="79" t="str">
        <x:v>trapezoidal</x:v>
      </x:c>
      <x:c r="C46" s="79" t="str">
        <x:v>Combinada trapezoidal</x:v>
      </x:c>
      <x:c r="D46" s="79" t="str">
        <x:v>AXC-BMK-TRAPEZOIDAL-001</x:v>
      </x:c>
      <x:c r="E46" s="79" t="str">
        <x:v>contact.gross-left</x:v>
      </x:c>
      <x:c r="F46" s="79" t="str">
        <x:v>Software 2</x:v>
      </x:c>
      <x:c r="G46" s="79" t="str">
        <x:v>software</x:v>
      </x:c>
      <x:c r="H46" s="106" t="str"/>
      <x:c r="I46" s="106" t="str"/>
      <x:c r="J46" s="106" t="str"/>
      <x:c r="K46" s="79" t="str">
        <x:v>NEC-2015-GUIDE-TRACEABLE</x:v>
      </x:c>
      <x:c r="L46" s="79" t="str">
        <x:v>AXC-TRAPEZOIDAL-ASSUMPTIONS-001</x:v>
      </x:c>
      <x:c r="M46" s="107"/>
      <x:c r="N46" s="79" t="str">
        <x:v>kPa</x:v>
      </x:c>
      <x:c r="O46" s="106" t="str"/>
      <x:c r="P46" s="108"/>
      <x:c r="Q46" s="106" t="str"/>
      <x:c r="R46" s="80" t="str">
        <x:f>IF(M46="","",ABS(M46-INDEX('Métricas'!$G$5:$G$28,MATCH(A46,'Métricas'!$A$5:$A$28,0))))</x:f>
      </x:c>
      <x:c r="S46" s="88" t="str">
        <x:f>IF(M46="","",R46/MAX(ABS(M46),ABS(INDEX('Métricas'!$G$5:$G$28,MATCH(A46,'Métricas'!$A$5:$A$28,0))),1E-12))</x:f>
      </x:c>
      <x:c r="T46" s="79" t="str">
        <x:f>IF(OR(H46="",I46="",J46="",M46="",O46="",P46="",Q46=""),"PENDIENTE",IF(OR(K46&lt;&gt;INDEX('Métricas'!$K$5:$K$28,MATCH(A46,'Métricas'!$A$5:$A$28,0)),L46&lt;&gt;INDEX('Métricas'!$L$5:$L$28,MATCH(A46,'Métricas'!$A$5:$A$28,0)),N46&lt;&gt;INDEX('Métricas'!$H$5:$H$28,MATCH(A46,'Métricas'!$A$5:$A$28,0))),"CONTEXTO INCOMPATIBLE",IF(OR(R46&lt;=INDEX('Métricas'!$I$5:$I$28,MATCH(A46,'Métricas'!$A$5:$A$28,0)),S46&lt;=INDEX('Métricas'!$J$5:$J$28,MATCH(A46,'Métricas'!$A$5:$A$28,0))),"COMPATIBLE","FUERA DE TOLERANCIA")))</x:f>
        <x:v>PENDIENTE</x:v>
      </x:c>
    </x:row>
    <x:row r="47">
      <x:c r="A47" s="79" t="str">
        <x:v>AXC-BMK-TRAPEZOIDAL-001|contact.gross-right</x:v>
      </x:c>
      <x:c r="B47" s="79" t="str">
        <x:v>trapezoidal</x:v>
      </x:c>
      <x:c r="C47" s="79" t="str">
        <x:v>Combinada trapezoidal</x:v>
      </x:c>
      <x:c r="D47" s="79" t="str">
        <x:v>AXC-BMK-TRAPEZOIDAL-001</x:v>
      </x:c>
      <x:c r="E47" s="79" t="str">
        <x:v>contact.gross-right</x:v>
      </x:c>
      <x:c r="F47" s="79" t="str">
        <x:v>Referencia pública</x:v>
      </x:c>
      <x:c r="G47" s="79" t="str">
        <x:v>public-reference</x:v>
      </x:c>
      <x:c r="H47" s="106" t="str"/>
      <x:c r="I47" s="106" t="str"/>
      <x:c r="J47" s="106" t="str"/>
      <x:c r="K47" s="79" t="str">
        <x:v>NEC-2015-GUIDE-TRACEABLE</x:v>
      </x:c>
      <x:c r="L47" s="79" t="str">
        <x:v>AXC-TRAPEZOIDAL-ASSUMPTIONS-001</x:v>
      </x:c>
      <x:c r="M47" s="107"/>
      <x:c r="N47" s="79" t="str">
        <x:v>kPa</x:v>
      </x:c>
      <x:c r="O47" s="106" t="str"/>
      <x:c r="P47" s="108"/>
      <x:c r="Q47" s="106" t="str"/>
      <x:c r="R47" s="80" t="str">
        <x:f>IF(M47="","",ABS(M47-INDEX('Métricas'!$G$5:$G$28,MATCH(A47,'Métricas'!$A$5:$A$28,0))))</x:f>
      </x:c>
      <x:c r="S47" s="88" t="str">
        <x:f>IF(M47="","",R47/MAX(ABS(M47),ABS(INDEX('Métricas'!$G$5:$G$28,MATCH(A47,'Métricas'!$A$5:$A$28,0))),1E-12))</x:f>
      </x:c>
      <x:c r="T47" s="79" t="str">
        <x:f>IF(OR(H47="",I47="",J47="",M47="",O47="",P47="",Q47=""),"PENDIENTE",IF(OR(K47&lt;&gt;INDEX('Métricas'!$K$5:$K$28,MATCH(A47,'Métricas'!$A$5:$A$28,0)),L47&lt;&gt;INDEX('Métricas'!$L$5:$L$28,MATCH(A47,'Métricas'!$A$5:$A$28,0)),N47&lt;&gt;INDEX('Métricas'!$H$5:$H$28,MATCH(A47,'Métricas'!$A$5:$A$28,0))),"CONTEXTO INCOMPATIBLE",IF(OR(R47&lt;=INDEX('Métricas'!$I$5:$I$28,MATCH(A47,'Métricas'!$A$5:$A$28,0)),S47&lt;=INDEX('Métricas'!$J$5:$J$28,MATCH(A47,'Métricas'!$A$5:$A$28,0))),"COMPATIBLE","FUERA DE TOLERANCIA")))</x:f>
        <x:v>PENDIENTE</x:v>
      </x:c>
    </x:row>
    <x:row r="48">
      <x:c r="A48" s="79" t="str">
        <x:v>AXC-BMK-TRAPEZOIDAL-001|contact.gross-right</x:v>
      </x:c>
      <x:c r="B48" s="79" t="str">
        <x:v>trapezoidal</x:v>
      </x:c>
      <x:c r="C48" s="79" t="str">
        <x:v>Combinada trapezoidal</x:v>
      </x:c>
      <x:c r="D48" s="79" t="str">
        <x:v>AXC-BMK-TRAPEZOIDAL-001</x:v>
      </x:c>
      <x:c r="E48" s="79" t="str">
        <x:v>contact.gross-right</x:v>
      </x:c>
      <x:c r="F48" s="79" t="str">
        <x:v>Software 1</x:v>
      </x:c>
      <x:c r="G48" s="79" t="str">
        <x:v>software</x:v>
      </x:c>
      <x:c r="H48" s="106" t="str"/>
      <x:c r="I48" s="106" t="str"/>
      <x:c r="J48" s="106" t="str"/>
      <x:c r="K48" s="79" t="str">
        <x:v>NEC-2015-GUIDE-TRACEABLE</x:v>
      </x:c>
      <x:c r="L48" s="79" t="str">
        <x:v>AXC-TRAPEZOIDAL-ASSUMPTIONS-001</x:v>
      </x:c>
      <x:c r="M48" s="107"/>
      <x:c r="N48" s="79" t="str">
        <x:v>kPa</x:v>
      </x:c>
      <x:c r="O48" s="106" t="str"/>
      <x:c r="P48" s="108"/>
      <x:c r="Q48" s="106" t="str"/>
      <x:c r="R48" s="80" t="str">
        <x:f>IF(M48="","",ABS(M48-INDEX('Métricas'!$G$5:$G$28,MATCH(A48,'Métricas'!$A$5:$A$28,0))))</x:f>
      </x:c>
      <x:c r="S48" s="88" t="str">
        <x:f>IF(M48="","",R48/MAX(ABS(M48),ABS(INDEX('Métricas'!$G$5:$G$28,MATCH(A48,'Métricas'!$A$5:$A$28,0))),1E-12))</x:f>
      </x:c>
      <x:c r="T48" s="79" t="str">
        <x:f>IF(OR(H48="",I48="",J48="",M48="",O48="",P48="",Q48=""),"PENDIENTE",IF(OR(K48&lt;&gt;INDEX('Métricas'!$K$5:$K$28,MATCH(A48,'Métricas'!$A$5:$A$28,0)),L48&lt;&gt;INDEX('Métricas'!$L$5:$L$28,MATCH(A48,'Métricas'!$A$5:$A$28,0)),N48&lt;&gt;INDEX('Métricas'!$H$5:$H$28,MATCH(A48,'Métricas'!$A$5:$A$28,0))),"CONTEXTO INCOMPATIBLE",IF(OR(R48&lt;=INDEX('Métricas'!$I$5:$I$28,MATCH(A48,'Métricas'!$A$5:$A$28,0)),S48&lt;=INDEX('Métricas'!$J$5:$J$28,MATCH(A48,'Métricas'!$A$5:$A$28,0))),"COMPATIBLE","FUERA DE TOLERANCIA")))</x:f>
        <x:v>PENDIENTE</x:v>
      </x:c>
    </x:row>
    <x:row r="49">
      <x:c r="A49" s="79" t="str">
        <x:v>AXC-BMK-TRAPEZOIDAL-001|contact.gross-right</x:v>
      </x:c>
      <x:c r="B49" s="79" t="str">
        <x:v>trapezoidal</x:v>
      </x:c>
      <x:c r="C49" s="79" t="str">
        <x:v>Combinada trapezoidal</x:v>
      </x:c>
      <x:c r="D49" s="79" t="str">
        <x:v>AXC-BMK-TRAPEZOIDAL-001</x:v>
      </x:c>
      <x:c r="E49" s="79" t="str">
        <x:v>contact.gross-right</x:v>
      </x:c>
      <x:c r="F49" s="79" t="str">
        <x:v>Software 2</x:v>
      </x:c>
      <x:c r="G49" s="79" t="str">
        <x:v>software</x:v>
      </x:c>
      <x:c r="H49" s="106" t="str"/>
      <x:c r="I49" s="106" t="str"/>
      <x:c r="J49" s="106" t="str"/>
      <x:c r="K49" s="79" t="str">
        <x:v>NEC-2015-GUIDE-TRACEABLE</x:v>
      </x:c>
      <x:c r="L49" s="79" t="str">
        <x:v>AXC-TRAPEZOIDAL-ASSUMPTIONS-001</x:v>
      </x:c>
      <x:c r="M49" s="107"/>
      <x:c r="N49" s="79" t="str">
        <x:v>kPa</x:v>
      </x:c>
      <x:c r="O49" s="106" t="str"/>
      <x:c r="P49" s="108"/>
      <x:c r="Q49" s="106" t="str"/>
      <x:c r="R49" s="80" t="str">
        <x:f>IF(M49="","",ABS(M49-INDEX('Métricas'!$G$5:$G$28,MATCH(A49,'Métricas'!$A$5:$A$28,0))))</x:f>
      </x:c>
      <x:c r="S49" s="88" t="str">
        <x:f>IF(M49="","",R49/MAX(ABS(M49),ABS(INDEX('Métricas'!$G$5:$G$28,MATCH(A49,'Métricas'!$A$5:$A$28,0))),1E-12))</x:f>
      </x:c>
      <x:c r="T49" s="79" t="str">
        <x:f>IF(OR(H49="",I49="",J49="",M49="",O49="",P49="",Q49=""),"PENDIENTE",IF(OR(K49&lt;&gt;INDEX('Métricas'!$K$5:$K$28,MATCH(A49,'Métricas'!$A$5:$A$28,0)),L49&lt;&gt;INDEX('Métricas'!$L$5:$L$28,MATCH(A49,'Métricas'!$A$5:$A$28,0)),N49&lt;&gt;INDEX('Métricas'!$H$5:$H$28,MATCH(A49,'Métricas'!$A$5:$A$28,0))),"CONTEXTO INCOMPATIBLE",IF(OR(R49&lt;=INDEX('Métricas'!$I$5:$I$28,MATCH(A49,'Métricas'!$A$5:$A$28,0)),S49&lt;=INDEX('Métricas'!$J$5:$J$28,MATCH(A49,'Métricas'!$A$5:$A$28,0))),"COMPATIBLE","FUERA DE TOLERANCIA")))</x:f>
        <x:v>PENDIENTE</x:v>
      </x:c>
    </x:row>
    <x:row r="50">
      <x:c r="A50" s="79" t="str">
        <x:v>AXC-BMK-EDGE-001|contact.gross-left</x:v>
      </x:c>
      <x:c r="B50" s="79" t="str">
        <x:v>edge</x:v>
      </x:c>
      <x:c r="C50" s="79" t="str">
        <x:v>Excéntrica de borde</x:v>
      </x:c>
      <x:c r="D50" s="79" t="str">
        <x:v>AXC-BMK-EDGE-001</x:v>
      </x:c>
      <x:c r="E50" s="79" t="str">
        <x:v>contact.gross-left</x:v>
      </x:c>
      <x:c r="F50" s="79" t="str">
        <x:v>Referencia pública</x:v>
      </x:c>
      <x:c r="G50" s="79" t="str">
        <x:v>public-reference</x:v>
      </x:c>
      <x:c r="H50" s="106" t="str"/>
      <x:c r="I50" s="106" t="str"/>
      <x:c r="J50" s="106" t="str"/>
      <x:c r="K50" s="79" t="str">
        <x:v>NEC-2015-GUIDE-TRACEABLE</x:v>
      </x:c>
      <x:c r="L50" s="79" t="str">
        <x:v>AXC-EDGE-ASSUMPTIONS-001</x:v>
      </x:c>
      <x:c r="M50" s="107"/>
      <x:c r="N50" s="79" t="str">
        <x:v>kPa</x:v>
      </x:c>
      <x:c r="O50" s="106" t="str"/>
      <x:c r="P50" s="108"/>
      <x:c r="Q50" s="106" t="str"/>
      <x:c r="R50" s="80" t="str">
        <x:f>IF(M50="","",ABS(M50-INDEX('Métricas'!$G$5:$G$28,MATCH(A50,'Métricas'!$A$5:$A$28,0))))</x:f>
      </x:c>
      <x:c r="S50" s="88" t="str">
        <x:f>IF(M50="","",R50/MAX(ABS(M50),ABS(INDEX('Métricas'!$G$5:$G$28,MATCH(A50,'Métricas'!$A$5:$A$28,0))),1E-12))</x:f>
      </x:c>
      <x:c r="T50" s="79" t="str">
        <x:f>IF(OR(H50="",I50="",J50="",M50="",O50="",P50="",Q50=""),"PENDIENTE",IF(OR(K50&lt;&gt;INDEX('Métricas'!$K$5:$K$28,MATCH(A50,'Métricas'!$A$5:$A$28,0)),L50&lt;&gt;INDEX('Métricas'!$L$5:$L$28,MATCH(A50,'Métricas'!$A$5:$A$28,0)),N50&lt;&gt;INDEX('Métricas'!$H$5:$H$28,MATCH(A50,'Métricas'!$A$5:$A$28,0))),"CONTEXTO INCOMPATIBLE",IF(OR(R50&lt;=INDEX('Métricas'!$I$5:$I$28,MATCH(A50,'Métricas'!$A$5:$A$28,0)),S50&lt;=INDEX('Métricas'!$J$5:$J$28,MATCH(A50,'Métricas'!$A$5:$A$28,0))),"COMPATIBLE","FUERA DE TOLERANCIA")))</x:f>
        <x:v>PENDIENTE</x:v>
      </x:c>
    </x:row>
    <x:row r="51">
      <x:c r="A51" s="79" t="str">
        <x:v>AXC-BMK-EDGE-001|contact.gross-left</x:v>
      </x:c>
      <x:c r="B51" s="79" t="str">
        <x:v>edge</x:v>
      </x:c>
      <x:c r="C51" s="79" t="str">
        <x:v>Excéntrica de borde</x:v>
      </x:c>
      <x:c r="D51" s="79" t="str">
        <x:v>AXC-BMK-EDGE-001</x:v>
      </x:c>
      <x:c r="E51" s="79" t="str">
        <x:v>contact.gross-left</x:v>
      </x:c>
      <x:c r="F51" s="79" t="str">
        <x:v>Software 1</x:v>
      </x:c>
      <x:c r="G51" s="79" t="str">
        <x:v>software</x:v>
      </x:c>
      <x:c r="H51" s="106" t="str"/>
      <x:c r="I51" s="106" t="str"/>
      <x:c r="J51" s="106" t="str"/>
      <x:c r="K51" s="79" t="str">
        <x:v>NEC-2015-GUIDE-TRACEABLE</x:v>
      </x:c>
      <x:c r="L51" s="79" t="str">
        <x:v>AXC-EDGE-ASSUMPTIONS-001</x:v>
      </x:c>
      <x:c r="M51" s="107"/>
      <x:c r="N51" s="79" t="str">
        <x:v>kPa</x:v>
      </x:c>
      <x:c r="O51" s="106" t="str"/>
      <x:c r="P51" s="108"/>
      <x:c r="Q51" s="106" t="str"/>
      <x:c r="R51" s="80" t="str">
        <x:f>IF(M51="","",ABS(M51-INDEX('Métricas'!$G$5:$G$28,MATCH(A51,'Métricas'!$A$5:$A$28,0))))</x:f>
      </x:c>
      <x:c r="S51" s="88" t="str">
        <x:f>IF(M51="","",R51/MAX(ABS(M51),ABS(INDEX('Métricas'!$G$5:$G$28,MATCH(A51,'Métricas'!$A$5:$A$28,0))),1E-12))</x:f>
      </x:c>
      <x:c r="T51" s="79" t="str">
        <x:f>IF(OR(H51="",I51="",J51="",M51="",O51="",P51="",Q51=""),"PENDIENTE",IF(OR(K51&lt;&gt;INDEX('Métricas'!$K$5:$K$28,MATCH(A51,'Métricas'!$A$5:$A$28,0)),L51&lt;&gt;INDEX('Métricas'!$L$5:$L$28,MATCH(A51,'Métricas'!$A$5:$A$28,0)),N51&lt;&gt;INDEX('Métricas'!$H$5:$H$28,MATCH(A51,'Métricas'!$A$5:$A$28,0))),"CONTEXTO INCOMPATIBLE",IF(OR(R51&lt;=INDEX('Métricas'!$I$5:$I$28,MATCH(A51,'Métricas'!$A$5:$A$28,0)),S51&lt;=INDEX('Métricas'!$J$5:$J$28,MATCH(A51,'Métricas'!$A$5:$A$28,0))),"COMPATIBLE","FUERA DE TOLERANCIA")))</x:f>
        <x:v>PENDIENTE</x:v>
      </x:c>
    </x:row>
    <x:row r="52">
      <x:c r="A52" s="79" t="str">
        <x:v>AXC-BMK-EDGE-001|contact.gross-left</x:v>
      </x:c>
      <x:c r="B52" s="79" t="str">
        <x:v>edge</x:v>
      </x:c>
      <x:c r="C52" s="79" t="str">
        <x:v>Excéntrica de borde</x:v>
      </x:c>
      <x:c r="D52" s="79" t="str">
        <x:v>AXC-BMK-EDGE-001</x:v>
      </x:c>
      <x:c r="E52" s="79" t="str">
        <x:v>contact.gross-left</x:v>
      </x:c>
      <x:c r="F52" s="79" t="str">
        <x:v>Software 2</x:v>
      </x:c>
      <x:c r="G52" s="79" t="str">
        <x:v>software</x:v>
      </x:c>
      <x:c r="H52" s="106" t="str"/>
      <x:c r="I52" s="106" t="str"/>
      <x:c r="J52" s="106" t="str"/>
      <x:c r="K52" s="79" t="str">
        <x:v>NEC-2015-GUIDE-TRACEABLE</x:v>
      </x:c>
      <x:c r="L52" s="79" t="str">
        <x:v>AXC-EDGE-ASSUMPTIONS-001</x:v>
      </x:c>
      <x:c r="M52" s="107"/>
      <x:c r="N52" s="79" t="str">
        <x:v>kPa</x:v>
      </x:c>
      <x:c r="O52" s="106" t="str"/>
      <x:c r="P52" s="108"/>
      <x:c r="Q52" s="106" t="str"/>
      <x:c r="R52" s="80" t="str">
        <x:f>IF(M52="","",ABS(M52-INDEX('Métricas'!$G$5:$G$28,MATCH(A52,'Métricas'!$A$5:$A$28,0))))</x:f>
      </x:c>
      <x:c r="S52" s="88" t="str">
        <x:f>IF(M52="","",R52/MAX(ABS(M52),ABS(INDEX('Métricas'!$G$5:$G$28,MATCH(A52,'Métricas'!$A$5:$A$28,0))),1E-12))</x:f>
      </x:c>
      <x:c r="T52" s="79" t="str">
        <x:f>IF(OR(H52="",I52="",J52="",M52="",O52="",P52="",Q52=""),"PENDIENTE",IF(OR(K52&lt;&gt;INDEX('Métricas'!$K$5:$K$28,MATCH(A52,'Métricas'!$A$5:$A$28,0)),L52&lt;&gt;INDEX('Métricas'!$L$5:$L$28,MATCH(A52,'Métricas'!$A$5:$A$28,0)),N52&lt;&gt;INDEX('Métricas'!$H$5:$H$28,MATCH(A52,'Métricas'!$A$5:$A$28,0))),"CONTEXTO INCOMPATIBLE",IF(OR(R52&lt;=INDEX('Métricas'!$I$5:$I$28,MATCH(A52,'Métricas'!$A$5:$A$28,0)),S52&lt;=INDEX('Métricas'!$J$5:$J$28,MATCH(A52,'Métricas'!$A$5:$A$28,0))),"COMPATIBLE","FUERA DE TOLERANCIA")))</x:f>
        <x:v>PENDIENTE</x:v>
      </x:c>
    </x:row>
    <x:row r="53">
      <x:c r="A53" s="79" t="str">
        <x:v>AXC-BMK-EDGE-001|contact.gross-right</x:v>
      </x:c>
      <x:c r="B53" s="79" t="str">
        <x:v>edge</x:v>
      </x:c>
      <x:c r="C53" s="79" t="str">
        <x:v>Excéntrica de borde</x:v>
      </x:c>
      <x:c r="D53" s="79" t="str">
        <x:v>AXC-BMK-EDGE-001</x:v>
      </x:c>
      <x:c r="E53" s="79" t="str">
        <x:v>contact.gross-right</x:v>
      </x:c>
      <x:c r="F53" s="79" t="str">
        <x:v>Referencia pública</x:v>
      </x:c>
      <x:c r="G53" s="79" t="str">
        <x:v>public-reference</x:v>
      </x:c>
      <x:c r="H53" s="106" t="str"/>
      <x:c r="I53" s="106" t="str"/>
      <x:c r="J53" s="106" t="str"/>
      <x:c r="K53" s="79" t="str">
        <x:v>NEC-2015-GUIDE-TRACEABLE</x:v>
      </x:c>
      <x:c r="L53" s="79" t="str">
        <x:v>AXC-EDGE-ASSUMPTIONS-001</x:v>
      </x:c>
      <x:c r="M53" s="107"/>
      <x:c r="N53" s="79" t="str">
        <x:v>kPa</x:v>
      </x:c>
      <x:c r="O53" s="106" t="str"/>
      <x:c r="P53" s="108"/>
      <x:c r="Q53" s="106" t="str"/>
      <x:c r="R53" s="80" t="str">
        <x:f>IF(M53="","",ABS(M53-INDEX('Métricas'!$G$5:$G$28,MATCH(A53,'Métricas'!$A$5:$A$28,0))))</x:f>
      </x:c>
      <x:c r="S53" s="88" t="str">
        <x:f>IF(M53="","",R53/MAX(ABS(M53),ABS(INDEX('Métricas'!$G$5:$G$28,MATCH(A53,'Métricas'!$A$5:$A$28,0))),1E-12))</x:f>
      </x:c>
      <x:c r="T53" s="79" t="str">
        <x:f>IF(OR(H53="",I53="",J53="",M53="",O53="",P53="",Q53=""),"PENDIENTE",IF(OR(K53&lt;&gt;INDEX('Métricas'!$K$5:$K$28,MATCH(A53,'Métricas'!$A$5:$A$28,0)),L53&lt;&gt;INDEX('Métricas'!$L$5:$L$28,MATCH(A53,'Métricas'!$A$5:$A$28,0)),N53&lt;&gt;INDEX('Métricas'!$H$5:$H$28,MATCH(A53,'Métricas'!$A$5:$A$28,0))),"CONTEXTO INCOMPATIBLE",IF(OR(R53&lt;=INDEX('Métricas'!$I$5:$I$28,MATCH(A53,'Métricas'!$A$5:$A$28,0)),S53&lt;=INDEX('Métricas'!$J$5:$J$28,MATCH(A53,'Métricas'!$A$5:$A$28,0))),"COMPATIBLE","FUERA DE TOLERANCIA")))</x:f>
        <x:v>PENDIENTE</x:v>
      </x:c>
    </x:row>
    <x:row r="54">
      <x:c r="A54" s="79" t="str">
        <x:v>AXC-BMK-EDGE-001|contact.gross-right</x:v>
      </x:c>
      <x:c r="B54" s="79" t="str">
        <x:v>edge</x:v>
      </x:c>
      <x:c r="C54" s="79" t="str">
        <x:v>Excéntrica de borde</x:v>
      </x:c>
      <x:c r="D54" s="79" t="str">
        <x:v>AXC-BMK-EDGE-001</x:v>
      </x:c>
      <x:c r="E54" s="79" t="str">
        <x:v>contact.gross-right</x:v>
      </x:c>
      <x:c r="F54" s="79" t="str">
        <x:v>Software 1</x:v>
      </x:c>
      <x:c r="G54" s="79" t="str">
        <x:v>software</x:v>
      </x:c>
      <x:c r="H54" s="106" t="str"/>
      <x:c r="I54" s="106" t="str"/>
      <x:c r="J54" s="106" t="str"/>
      <x:c r="K54" s="79" t="str">
        <x:v>NEC-2015-GUIDE-TRACEABLE</x:v>
      </x:c>
      <x:c r="L54" s="79" t="str">
        <x:v>AXC-EDGE-ASSUMPTIONS-001</x:v>
      </x:c>
      <x:c r="M54" s="107"/>
      <x:c r="N54" s="79" t="str">
        <x:v>kPa</x:v>
      </x:c>
      <x:c r="O54" s="106" t="str"/>
      <x:c r="P54" s="108"/>
      <x:c r="Q54" s="106" t="str"/>
      <x:c r="R54" s="80" t="str">
        <x:f>IF(M54="","",ABS(M54-INDEX('Métricas'!$G$5:$G$28,MATCH(A54,'Métricas'!$A$5:$A$28,0))))</x:f>
      </x:c>
      <x:c r="S54" s="88" t="str">
        <x:f>IF(M54="","",R54/MAX(ABS(M54),ABS(INDEX('Métricas'!$G$5:$G$28,MATCH(A54,'Métricas'!$A$5:$A$28,0))),1E-12))</x:f>
      </x:c>
      <x:c r="T54" s="79" t="str">
        <x:f>IF(OR(H54="",I54="",J54="",M54="",O54="",P54="",Q54=""),"PENDIENTE",IF(OR(K54&lt;&gt;INDEX('Métricas'!$K$5:$K$28,MATCH(A54,'Métricas'!$A$5:$A$28,0)),L54&lt;&gt;INDEX('Métricas'!$L$5:$L$28,MATCH(A54,'Métricas'!$A$5:$A$28,0)),N54&lt;&gt;INDEX('Métricas'!$H$5:$H$28,MATCH(A54,'Métricas'!$A$5:$A$28,0))),"CONTEXTO INCOMPATIBLE",IF(OR(R54&lt;=INDEX('Métricas'!$I$5:$I$28,MATCH(A54,'Métricas'!$A$5:$A$28,0)),S54&lt;=INDEX('Métricas'!$J$5:$J$28,MATCH(A54,'Métricas'!$A$5:$A$28,0))),"COMPATIBLE","FUERA DE TOLERANCIA")))</x:f>
        <x:v>PENDIENTE</x:v>
      </x:c>
    </x:row>
    <x:row r="55">
      <x:c r="A55" s="79" t="str">
        <x:v>AXC-BMK-EDGE-001|contact.gross-right</x:v>
      </x:c>
      <x:c r="B55" s="79" t="str">
        <x:v>edge</x:v>
      </x:c>
      <x:c r="C55" s="79" t="str">
        <x:v>Excéntrica de borde</x:v>
      </x:c>
      <x:c r="D55" s="79" t="str">
        <x:v>AXC-BMK-EDGE-001</x:v>
      </x:c>
      <x:c r="E55" s="79" t="str">
        <x:v>contact.gross-right</x:v>
      </x:c>
      <x:c r="F55" s="79" t="str">
        <x:v>Software 2</x:v>
      </x:c>
      <x:c r="G55" s="79" t="str">
        <x:v>software</x:v>
      </x:c>
      <x:c r="H55" s="106" t="str"/>
      <x:c r="I55" s="106" t="str"/>
      <x:c r="J55" s="106" t="str"/>
      <x:c r="K55" s="79" t="str">
        <x:v>NEC-2015-GUIDE-TRACEABLE</x:v>
      </x:c>
      <x:c r="L55" s="79" t="str">
        <x:v>AXC-EDGE-ASSUMPTIONS-001</x:v>
      </x:c>
      <x:c r="M55" s="107"/>
      <x:c r="N55" s="79" t="str">
        <x:v>kPa</x:v>
      </x:c>
      <x:c r="O55" s="106" t="str"/>
      <x:c r="P55" s="108"/>
      <x:c r="Q55" s="106" t="str"/>
      <x:c r="R55" s="80" t="str">
        <x:f>IF(M55="","",ABS(M55-INDEX('Métricas'!$G$5:$G$28,MATCH(A55,'Métricas'!$A$5:$A$28,0))))</x:f>
      </x:c>
      <x:c r="S55" s="88" t="str">
        <x:f>IF(M55="","",R55/MAX(ABS(M55),ABS(INDEX('Métricas'!$G$5:$G$28,MATCH(A55,'Métricas'!$A$5:$A$28,0))),1E-12))</x:f>
      </x:c>
      <x:c r="T55" s="79" t="str">
        <x:f>IF(OR(H55="",I55="",J55="",M55="",O55="",P55="",Q55=""),"PENDIENTE",IF(OR(K55&lt;&gt;INDEX('Métricas'!$K$5:$K$28,MATCH(A55,'Métricas'!$A$5:$A$28,0)),L55&lt;&gt;INDEX('Métricas'!$L$5:$L$28,MATCH(A55,'Métricas'!$A$5:$A$28,0)),N55&lt;&gt;INDEX('Métricas'!$H$5:$H$28,MATCH(A55,'Métricas'!$A$5:$A$28,0))),"CONTEXTO INCOMPATIBLE",IF(OR(R55&lt;=INDEX('Métricas'!$I$5:$I$28,MATCH(A55,'Métricas'!$A$5:$A$28,0)),S55&lt;=INDEX('Métricas'!$J$5:$J$28,MATCH(A55,'Métricas'!$A$5:$A$28,0))),"COMPATIBLE","FUERA DE TOLERANCIA")))</x:f>
        <x:v>PENDIENTE</x:v>
      </x:c>
    </x:row>
    <x:row r="56">
      <x:c r="A56" s="79" t="str">
        <x:v>AXC-BMK-EDGE-001|longitudinal.governing-flexure</x:v>
      </x:c>
      <x:c r="B56" s="79" t="str">
        <x:v>edge</x:v>
      </x:c>
      <x:c r="C56" s="79" t="str">
        <x:v>Excéntrica de borde</x:v>
      </x:c>
      <x:c r="D56" s="79" t="str">
        <x:v>AXC-BMK-EDGE-001</x:v>
      </x:c>
      <x:c r="E56" s="79" t="str">
        <x:v>longitudinal.governing-flexure</x:v>
      </x:c>
      <x:c r="F56" s="79" t="str">
        <x:v>Referencia pública</x:v>
      </x:c>
      <x:c r="G56" s="79" t="str">
        <x:v>public-reference</x:v>
      </x:c>
      <x:c r="H56" s="106" t="str"/>
      <x:c r="I56" s="106" t="str"/>
      <x:c r="J56" s="106" t="str"/>
      <x:c r="K56" s="79" t="str">
        <x:v>NEC-2015-GUIDE-TRACEABLE</x:v>
      </x:c>
      <x:c r="L56" s="79" t="str">
        <x:v>AXC-EDGE-ASSUMPTIONS-001</x:v>
      </x:c>
      <x:c r="M56" s="107"/>
      <x:c r="N56" s="79" t="str">
        <x:v>kN·m</x:v>
      </x:c>
      <x:c r="O56" s="106" t="str"/>
      <x:c r="P56" s="108"/>
      <x:c r="Q56" s="106" t="str"/>
      <x:c r="R56" s="80" t="str">
        <x:f>IF(M56="","",ABS(M56-INDEX('Métricas'!$G$5:$G$28,MATCH(A56,'Métricas'!$A$5:$A$28,0))))</x:f>
      </x:c>
      <x:c r="S56" s="88" t="str">
        <x:f>IF(M56="","",R56/MAX(ABS(M56),ABS(INDEX('Métricas'!$G$5:$G$28,MATCH(A56,'Métricas'!$A$5:$A$28,0))),1E-12))</x:f>
      </x:c>
      <x:c r="T56" s="79" t="str">
        <x:f>IF(OR(H56="",I56="",J56="",M56="",O56="",P56="",Q56=""),"PENDIENTE",IF(OR(K56&lt;&gt;INDEX('Métricas'!$K$5:$K$28,MATCH(A56,'Métricas'!$A$5:$A$28,0)),L56&lt;&gt;INDEX('Métricas'!$L$5:$L$28,MATCH(A56,'Métricas'!$A$5:$A$28,0)),N56&lt;&gt;INDEX('Métricas'!$H$5:$H$28,MATCH(A56,'Métricas'!$A$5:$A$28,0))),"CONTEXTO INCOMPATIBLE",IF(OR(R56&lt;=INDEX('Métricas'!$I$5:$I$28,MATCH(A56,'Métricas'!$A$5:$A$28,0)),S56&lt;=INDEX('Métricas'!$J$5:$J$28,MATCH(A56,'Métricas'!$A$5:$A$28,0))),"COMPATIBLE","FUERA DE TOLERANCIA")))</x:f>
        <x:v>PENDIENTE</x:v>
      </x:c>
    </x:row>
    <x:row r="57">
      <x:c r="A57" s="79" t="str">
        <x:v>AXC-BMK-EDGE-001|longitudinal.governing-flexure</x:v>
      </x:c>
      <x:c r="B57" s="79" t="str">
        <x:v>edge</x:v>
      </x:c>
      <x:c r="C57" s="79" t="str">
        <x:v>Excéntrica de borde</x:v>
      </x:c>
      <x:c r="D57" s="79" t="str">
        <x:v>AXC-BMK-EDGE-001</x:v>
      </x:c>
      <x:c r="E57" s="79" t="str">
        <x:v>longitudinal.governing-flexure</x:v>
      </x:c>
      <x:c r="F57" s="79" t="str">
        <x:v>Software 1</x:v>
      </x:c>
      <x:c r="G57" s="79" t="str">
        <x:v>software</x:v>
      </x:c>
      <x:c r="H57" s="106" t="str"/>
      <x:c r="I57" s="106" t="str"/>
      <x:c r="J57" s="106" t="str"/>
      <x:c r="K57" s="79" t="str">
        <x:v>NEC-2015-GUIDE-TRACEABLE</x:v>
      </x:c>
      <x:c r="L57" s="79" t="str">
        <x:v>AXC-EDGE-ASSUMPTIONS-001</x:v>
      </x:c>
      <x:c r="M57" s="107"/>
      <x:c r="N57" s="79" t="str">
        <x:v>kN·m</x:v>
      </x:c>
      <x:c r="O57" s="106" t="str"/>
      <x:c r="P57" s="108"/>
      <x:c r="Q57" s="106" t="str"/>
      <x:c r="R57" s="80" t="str">
        <x:f>IF(M57="","",ABS(M57-INDEX('Métricas'!$G$5:$G$28,MATCH(A57,'Métricas'!$A$5:$A$28,0))))</x:f>
      </x:c>
      <x:c r="S57" s="88" t="str">
        <x:f>IF(M57="","",R57/MAX(ABS(M57),ABS(INDEX('Métricas'!$G$5:$G$28,MATCH(A57,'Métricas'!$A$5:$A$28,0))),1E-12))</x:f>
      </x:c>
      <x:c r="T57" s="79" t="str">
        <x:f>IF(OR(H57="",I57="",J57="",M57="",O57="",P57="",Q57=""),"PENDIENTE",IF(OR(K57&lt;&gt;INDEX('Métricas'!$K$5:$K$28,MATCH(A57,'Métricas'!$A$5:$A$28,0)),L57&lt;&gt;INDEX('Métricas'!$L$5:$L$28,MATCH(A57,'Métricas'!$A$5:$A$28,0)),N57&lt;&gt;INDEX('Métricas'!$H$5:$H$28,MATCH(A57,'Métricas'!$A$5:$A$28,0))),"CONTEXTO INCOMPATIBLE",IF(OR(R57&lt;=INDEX('Métricas'!$I$5:$I$28,MATCH(A57,'Métricas'!$A$5:$A$28,0)),S57&lt;=INDEX('Métricas'!$J$5:$J$28,MATCH(A57,'Métricas'!$A$5:$A$28,0))),"COMPATIBLE","FUERA DE TOLERANCIA")))</x:f>
        <x:v>PENDIENTE</x:v>
      </x:c>
    </x:row>
    <x:row r="58">
      <x:c r="A58" s="79" t="str">
        <x:v>AXC-BMK-EDGE-001|longitudinal.governing-flexure</x:v>
      </x:c>
      <x:c r="B58" s="79" t="str">
        <x:v>edge</x:v>
      </x:c>
      <x:c r="C58" s="79" t="str">
        <x:v>Excéntrica de borde</x:v>
      </x:c>
      <x:c r="D58" s="79" t="str">
        <x:v>AXC-BMK-EDGE-001</x:v>
      </x:c>
      <x:c r="E58" s="79" t="str">
        <x:v>longitudinal.governing-flexure</x:v>
      </x:c>
      <x:c r="F58" s="79" t="str">
        <x:v>Software 2</x:v>
      </x:c>
      <x:c r="G58" s="79" t="str">
        <x:v>software</x:v>
      </x:c>
      <x:c r="H58" s="106" t="str"/>
      <x:c r="I58" s="106" t="str"/>
      <x:c r="J58" s="106" t="str"/>
      <x:c r="K58" s="79" t="str">
        <x:v>NEC-2015-GUIDE-TRACEABLE</x:v>
      </x:c>
      <x:c r="L58" s="79" t="str">
        <x:v>AXC-EDGE-ASSUMPTIONS-001</x:v>
      </x:c>
      <x:c r="M58" s="107"/>
      <x:c r="N58" s="79" t="str">
        <x:v>kN·m</x:v>
      </x:c>
      <x:c r="O58" s="106" t="str"/>
      <x:c r="P58" s="108"/>
      <x:c r="Q58" s="106" t="str"/>
      <x:c r="R58" s="80" t="str">
        <x:f>IF(M58="","",ABS(M58-INDEX('Métricas'!$G$5:$G$28,MATCH(A58,'Métricas'!$A$5:$A$28,0))))</x:f>
      </x:c>
      <x:c r="S58" s="88" t="str">
        <x:f>IF(M58="","",R58/MAX(ABS(M58),ABS(INDEX('Métricas'!$G$5:$G$28,MATCH(A58,'Métricas'!$A$5:$A$28,0))),1E-12))</x:f>
      </x:c>
      <x:c r="T58" s="79" t="str">
        <x:f>IF(OR(H58="",I58="",J58="",M58="",O58="",P58="",Q58=""),"PENDIENTE",IF(OR(K58&lt;&gt;INDEX('Métricas'!$K$5:$K$28,MATCH(A58,'Métricas'!$A$5:$A$28,0)),L58&lt;&gt;INDEX('Métricas'!$L$5:$L$28,MATCH(A58,'Métricas'!$A$5:$A$28,0)),N58&lt;&gt;INDEX('Métricas'!$H$5:$H$28,MATCH(A58,'Métricas'!$A$5:$A$28,0))),"CONTEXTO INCOMPATIBLE",IF(OR(R58&lt;=INDEX('Métricas'!$I$5:$I$28,MATCH(A58,'Métricas'!$A$5:$A$28,0)),S58&lt;=INDEX('Métricas'!$J$5:$J$28,MATCH(A58,'Métricas'!$A$5:$A$28,0))),"COMPATIBLE","FUERA DE TOLERANCIA")))</x:f>
        <x:v>PENDIENTE</x:v>
      </x:c>
    </x:row>
    <x:row r="59">
      <x:c r="A59" s="79" t="str">
        <x:v>AXC-BMK-CORNER-001|contact.gross-average</x:v>
      </x:c>
      <x:c r="B59" s="79" t="str">
        <x:v>corner</x:v>
      </x:c>
      <x:c r="C59" s="79" t="str">
        <x:v>Esquina biaxial</x:v>
      </x:c>
      <x:c r="D59" s="79" t="str">
        <x:v>AXC-BMK-CORNER-001</x:v>
      </x:c>
      <x:c r="E59" s="79" t="str">
        <x:v>contact.gross-average</x:v>
      </x:c>
      <x:c r="F59" s="79" t="str">
        <x:v>Referencia pública</x:v>
      </x:c>
      <x:c r="G59" s="79" t="str">
        <x:v>public-reference</x:v>
      </x:c>
      <x:c r="H59" s="106" t="str"/>
      <x:c r="I59" s="106" t="str"/>
      <x:c r="J59" s="106" t="str"/>
      <x:c r="K59" s="79" t="str">
        <x:v>NEC-2015-GUIDE-TRACEABLE</x:v>
      </x:c>
      <x:c r="L59" s="79" t="str">
        <x:v>AXC-CORNER-ASSUMPTIONS-001</x:v>
      </x:c>
      <x:c r="M59" s="107"/>
      <x:c r="N59" s="79" t="str">
        <x:v>kPa</x:v>
      </x:c>
      <x:c r="O59" s="106" t="str"/>
      <x:c r="P59" s="108"/>
      <x:c r="Q59" s="106" t="str"/>
      <x:c r="R59" s="80" t="str">
        <x:f>IF(M59="","",ABS(M59-INDEX('Métricas'!$G$5:$G$28,MATCH(A59,'Métricas'!$A$5:$A$28,0))))</x:f>
      </x:c>
      <x:c r="S59" s="88" t="str">
        <x:f>IF(M59="","",R59/MAX(ABS(M59),ABS(INDEX('Métricas'!$G$5:$G$28,MATCH(A59,'Métricas'!$A$5:$A$28,0))),1E-12))</x:f>
      </x:c>
      <x:c r="T59" s="79" t="str">
        <x:f>IF(OR(H59="",I59="",J59="",M59="",O59="",P59="",Q59=""),"PENDIENTE",IF(OR(K59&lt;&gt;INDEX('Métricas'!$K$5:$K$28,MATCH(A59,'Métricas'!$A$5:$A$28,0)),L59&lt;&gt;INDEX('Métricas'!$L$5:$L$28,MATCH(A59,'Métricas'!$A$5:$A$28,0)),N59&lt;&gt;INDEX('Métricas'!$H$5:$H$28,MATCH(A59,'Métricas'!$A$5:$A$28,0))),"CONTEXTO INCOMPATIBLE",IF(OR(R59&lt;=INDEX('Métricas'!$I$5:$I$28,MATCH(A59,'Métricas'!$A$5:$A$28,0)),S59&lt;=INDEX('Métricas'!$J$5:$J$28,MATCH(A59,'Métricas'!$A$5:$A$28,0))),"COMPATIBLE","FUERA DE TOLERANCIA")))</x:f>
        <x:v>PENDIENTE</x:v>
      </x:c>
    </x:row>
    <x:row r="60">
      <x:c r="A60" s="79" t="str">
        <x:v>AXC-BMK-CORNER-001|contact.gross-average</x:v>
      </x:c>
      <x:c r="B60" s="79" t="str">
        <x:v>corner</x:v>
      </x:c>
      <x:c r="C60" s="79" t="str">
        <x:v>Esquina biaxial</x:v>
      </x:c>
      <x:c r="D60" s="79" t="str">
        <x:v>AXC-BMK-CORNER-001</x:v>
      </x:c>
      <x:c r="E60" s="79" t="str">
        <x:v>contact.gross-average</x:v>
      </x:c>
      <x:c r="F60" s="79" t="str">
        <x:v>Software 1</x:v>
      </x:c>
      <x:c r="G60" s="79" t="str">
        <x:v>software</x:v>
      </x:c>
      <x:c r="H60" s="106" t="str"/>
      <x:c r="I60" s="106" t="str"/>
      <x:c r="J60" s="106" t="str"/>
      <x:c r="K60" s="79" t="str">
        <x:v>NEC-2015-GUIDE-TRACEABLE</x:v>
      </x:c>
      <x:c r="L60" s="79" t="str">
        <x:v>AXC-CORNER-ASSUMPTIONS-001</x:v>
      </x:c>
      <x:c r="M60" s="107"/>
      <x:c r="N60" s="79" t="str">
        <x:v>kPa</x:v>
      </x:c>
      <x:c r="O60" s="106" t="str"/>
      <x:c r="P60" s="108"/>
      <x:c r="Q60" s="106" t="str"/>
      <x:c r="R60" s="80" t="str">
        <x:f>IF(M60="","",ABS(M60-INDEX('Métricas'!$G$5:$G$28,MATCH(A60,'Métricas'!$A$5:$A$28,0))))</x:f>
      </x:c>
      <x:c r="S60" s="88" t="str">
        <x:f>IF(M60="","",R60/MAX(ABS(M60),ABS(INDEX('Métricas'!$G$5:$G$28,MATCH(A60,'Métricas'!$A$5:$A$28,0))),1E-12))</x:f>
      </x:c>
      <x:c r="T60" s="79" t="str">
        <x:f>IF(OR(H60="",I60="",J60="",M60="",O60="",P60="",Q60=""),"PENDIENTE",IF(OR(K60&lt;&gt;INDEX('Métricas'!$K$5:$K$28,MATCH(A60,'Métricas'!$A$5:$A$28,0)),L60&lt;&gt;INDEX('Métricas'!$L$5:$L$28,MATCH(A60,'Métricas'!$A$5:$A$28,0)),N60&lt;&gt;INDEX('Métricas'!$H$5:$H$28,MATCH(A60,'Métricas'!$A$5:$A$28,0))),"CONTEXTO INCOMPATIBLE",IF(OR(R60&lt;=INDEX('Métricas'!$I$5:$I$28,MATCH(A60,'Métricas'!$A$5:$A$28,0)),S60&lt;=INDEX('Métricas'!$J$5:$J$28,MATCH(A60,'Métricas'!$A$5:$A$28,0))),"COMPATIBLE","FUERA DE TOLERANCIA")))</x:f>
        <x:v>PENDIENTE</x:v>
      </x:c>
    </x:row>
    <x:row r="61">
      <x:c r="A61" s="79" t="str">
        <x:v>AXC-BMK-CORNER-001|contact.gross-average</x:v>
      </x:c>
      <x:c r="B61" s="79" t="str">
        <x:v>corner</x:v>
      </x:c>
      <x:c r="C61" s="79" t="str">
        <x:v>Esquina biaxial</x:v>
      </x:c>
      <x:c r="D61" s="79" t="str">
        <x:v>AXC-BMK-CORNER-001</x:v>
      </x:c>
      <x:c r="E61" s="79" t="str">
        <x:v>contact.gross-average</x:v>
      </x:c>
      <x:c r="F61" s="79" t="str">
        <x:v>Software 2</x:v>
      </x:c>
      <x:c r="G61" s="79" t="str">
        <x:v>software</x:v>
      </x:c>
      <x:c r="H61" s="106" t="str"/>
      <x:c r="I61" s="106" t="str"/>
      <x:c r="J61" s="106" t="str"/>
      <x:c r="K61" s="79" t="str">
        <x:v>NEC-2015-GUIDE-TRACEABLE</x:v>
      </x:c>
      <x:c r="L61" s="79" t="str">
        <x:v>AXC-CORNER-ASSUMPTIONS-001</x:v>
      </x:c>
      <x:c r="M61" s="107"/>
      <x:c r="N61" s="79" t="str">
        <x:v>kPa</x:v>
      </x:c>
      <x:c r="O61" s="106" t="str"/>
      <x:c r="P61" s="108"/>
      <x:c r="Q61" s="106" t="str"/>
      <x:c r="R61" s="80" t="str">
        <x:f>IF(M61="","",ABS(M61-INDEX('Métricas'!$G$5:$G$28,MATCH(A61,'Métricas'!$A$5:$A$28,0))))</x:f>
      </x:c>
      <x:c r="S61" s="88" t="str">
        <x:f>IF(M61="","",R61/MAX(ABS(M61),ABS(INDEX('Métricas'!$G$5:$G$28,MATCH(A61,'Métricas'!$A$5:$A$28,0))),1E-12))</x:f>
      </x:c>
      <x:c r="T61" s="79" t="str">
        <x:f>IF(OR(H61="",I61="",J61="",M61="",O61="",P61="",Q61=""),"PENDIENTE",IF(OR(K61&lt;&gt;INDEX('Métricas'!$K$5:$K$28,MATCH(A61,'Métricas'!$A$5:$A$28,0)),L61&lt;&gt;INDEX('Métricas'!$L$5:$L$28,MATCH(A61,'Métricas'!$A$5:$A$28,0)),N61&lt;&gt;INDEX('Métricas'!$H$5:$H$28,MATCH(A61,'Métricas'!$A$5:$A$28,0))),"CONTEXTO INCOMPATIBLE",IF(OR(R61&lt;=INDEX('Métricas'!$I$5:$I$28,MATCH(A61,'Métricas'!$A$5:$A$28,0)),S61&lt;=INDEX('Métricas'!$J$5:$J$28,MATCH(A61,'Métricas'!$A$5:$A$28,0))),"COMPATIBLE","FUERA DE TOLERANCIA")))</x:f>
        <x:v>PENDIENTE</x:v>
      </x:c>
    </x:row>
    <x:row r="62">
      <x:c r="A62" s="79" t="str">
        <x:v>AXC-BMK-CORNER-001|contact.gross-minimum</x:v>
      </x:c>
      <x:c r="B62" s="79" t="str">
        <x:v>corner</x:v>
      </x:c>
      <x:c r="C62" s="79" t="str">
        <x:v>Esquina biaxial</x:v>
      </x:c>
      <x:c r="D62" s="79" t="str">
        <x:v>AXC-BMK-CORNER-001</x:v>
      </x:c>
      <x:c r="E62" s="79" t="str">
        <x:v>contact.gross-minimum</x:v>
      </x:c>
      <x:c r="F62" s="79" t="str">
        <x:v>Referencia pública</x:v>
      </x:c>
      <x:c r="G62" s="79" t="str">
        <x:v>public-reference</x:v>
      </x:c>
      <x:c r="H62" s="106" t="str"/>
      <x:c r="I62" s="106" t="str"/>
      <x:c r="J62" s="106" t="str"/>
      <x:c r="K62" s="79" t="str">
        <x:v>NEC-2015-GUIDE-TRACEABLE</x:v>
      </x:c>
      <x:c r="L62" s="79" t="str">
        <x:v>AXC-CORNER-ASSUMPTIONS-001</x:v>
      </x:c>
      <x:c r="M62" s="107"/>
      <x:c r="N62" s="79" t="str">
        <x:v>kPa</x:v>
      </x:c>
      <x:c r="O62" s="106" t="str"/>
      <x:c r="P62" s="108"/>
      <x:c r="Q62" s="106" t="str"/>
      <x:c r="R62" s="80" t="str">
        <x:f>IF(M62="","",ABS(M62-INDEX('Métricas'!$G$5:$G$28,MATCH(A62,'Métricas'!$A$5:$A$28,0))))</x:f>
      </x:c>
      <x:c r="S62" s="88" t="str">
        <x:f>IF(M62="","",R62/MAX(ABS(M62),ABS(INDEX('Métricas'!$G$5:$G$28,MATCH(A62,'Métricas'!$A$5:$A$28,0))),1E-12))</x:f>
      </x:c>
      <x:c r="T62" s="79" t="str">
        <x:f>IF(OR(H62="",I62="",J62="",M62="",O62="",P62="",Q62=""),"PENDIENTE",IF(OR(K62&lt;&gt;INDEX('Métricas'!$K$5:$K$28,MATCH(A62,'Métricas'!$A$5:$A$28,0)),L62&lt;&gt;INDEX('Métricas'!$L$5:$L$28,MATCH(A62,'Métricas'!$A$5:$A$28,0)),N62&lt;&gt;INDEX('Métricas'!$H$5:$H$28,MATCH(A62,'Métricas'!$A$5:$A$28,0))),"CONTEXTO INCOMPATIBLE",IF(OR(R62&lt;=INDEX('Métricas'!$I$5:$I$28,MATCH(A62,'Métricas'!$A$5:$A$28,0)),S62&lt;=INDEX('Métricas'!$J$5:$J$28,MATCH(A62,'Métricas'!$A$5:$A$28,0))),"COMPATIBLE","FUERA DE TOLERANCIA")))</x:f>
        <x:v>PENDIENTE</x:v>
      </x:c>
    </x:row>
    <x:row r="63">
      <x:c r="A63" s="79" t="str">
        <x:v>AXC-BMK-CORNER-001|contact.gross-minimum</x:v>
      </x:c>
      <x:c r="B63" s="79" t="str">
        <x:v>corner</x:v>
      </x:c>
      <x:c r="C63" s="79" t="str">
        <x:v>Esquina biaxial</x:v>
      </x:c>
      <x:c r="D63" s="79" t="str">
        <x:v>AXC-BMK-CORNER-001</x:v>
      </x:c>
      <x:c r="E63" s="79" t="str">
        <x:v>contact.gross-minimum</x:v>
      </x:c>
      <x:c r="F63" s="79" t="str">
        <x:v>Software 1</x:v>
      </x:c>
      <x:c r="G63" s="79" t="str">
        <x:v>software</x:v>
      </x:c>
      <x:c r="H63" s="106" t="str"/>
      <x:c r="I63" s="106" t="str"/>
      <x:c r="J63" s="106" t="str"/>
      <x:c r="K63" s="79" t="str">
        <x:v>NEC-2015-GUIDE-TRACEABLE</x:v>
      </x:c>
      <x:c r="L63" s="79" t="str">
        <x:v>AXC-CORNER-ASSUMPTIONS-001</x:v>
      </x:c>
      <x:c r="M63" s="107"/>
      <x:c r="N63" s="79" t="str">
        <x:v>kPa</x:v>
      </x:c>
      <x:c r="O63" s="106" t="str"/>
      <x:c r="P63" s="108"/>
      <x:c r="Q63" s="106" t="str"/>
      <x:c r="R63" s="80" t="str">
        <x:f>IF(M63="","",ABS(M63-INDEX('Métricas'!$G$5:$G$28,MATCH(A63,'Métricas'!$A$5:$A$28,0))))</x:f>
      </x:c>
      <x:c r="S63" s="88" t="str">
        <x:f>IF(M63="","",R63/MAX(ABS(M63),ABS(INDEX('Métricas'!$G$5:$G$28,MATCH(A63,'Métricas'!$A$5:$A$28,0))),1E-12))</x:f>
      </x:c>
      <x:c r="T63" s="79" t="str">
        <x:f>IF(OR(H63="",I63="",J63="",M63="",O63="",P63="",Q63=""),"PENDIENTE",IF(OR(K63&lt;&gt;INDEX('Métricas'!$K$5:$K$28,MATCH(A63,'Métricas'!$A$5:$A$28,0)),L63&lt;&gt;INDEX('Métricas'!$L$5:$L$28,MATCH(A63,'Métricas'!$A$5:$A$28,0)),N63&lt;&gt;INDEX('Métricas'!$H$5:$H$28,MATCH(A63,'Métricas'!$A$5:$A$28,0))),"CONTEXTO INCOMPATIBLE",IF(OR(R63&lt;=INDEX('Métricas'!$I$5:$I$28,MATCH(A63,'Métricas'!$A$5:$A$28,0)),S63&lt;=INDEX('Métricas'!$J$5:$J$28,MATCH(A63,'Métricas'!$A$5:$A$28,0))),"COMPATIBLE","FUERA DE TOLERANCIA")))</x:f>
        <x:v>PENDIENTE</x:v>
      </x:c>
    </x:row>
    <x:row r="64">
      <x:c r="A64" s="79" t="str">
        <x:v>AXC-BMK-CORNER-001|contact.gross-minimum</x:v>
      </x:c>
      <x:c r="B64" s="79" t="str">
        <x:v>corner</x:v>
      </x:c>
      <x:c r="C64" s="79" t="str">
        <x:v>Esquina biaxial</x:v>
      </x:c>
      <x:c r="D64" s="79" t="str">
        <x:v>AXC-BMK-CORNER-001</x:v>
      </x:c>
      <x:c r="E64" s="79" t="str">
        <x:v>contact.gross-minimum</x:v>
      </x:c>
      <x:c r="F64" s="79" t="str">
        <x:v>Software 2</x:v>
      </x:c>
      <x:c r="G64" s="79" t="str">
        <x:v>software</x:v>
      </x:c>
      <x:c r="H64" s="106" t="str"/>
      <x:c r="I64" s="106" t="str"/>
      <x:c r="J64" s="106" t="str"/>
      <x:c r="K64" s="79" t="str">
        <x:v>NEC-2015-GUIDE-TRACEABLE</x:v>
      </x:c>
      <x:c r="L64" s="79" t="str">
        <x:v>AXC-CORNER-ASSUMPTIONS-001</x:v>
      </x:c>
      <x:c r="M64" s="107"/>
      <x:c r="N64" s="79" t="str">
        <x:v>kPa</x:v>
      </x:c>
      <x:c r="O64" s="106" t="str"/>
      <x:c r="P64" s="108"/>
      <x:c r="Q64" s="106" t="str"/>
      <x:c r="R64" s="80" t="str">
        <x:f>IF(M64="","",ABS(M64-INDEX('Métricas'!$G$5:$G$28,MATCH(A64,'Métricas'!$A$5:$A$28,0))))</x:f>
      </x:c>
      <x:c r="S64" s="88" t="str">
        <x:f>IF(M64="","",R64/MAX(ABS(M64),ABS(INDEX('Métricas'!$G$5:$G$28,MATCH(A64,'Métricas'!$A$5:$A$28,0))),1E-12))</x:f>
      </x:c>
      <x:c r="T64" s="79" t="str">
        <x:f>IF(OR(H64="",I64="",J64="",M64="",O64="",P64="",Q64=""),"PENDIENTE",IF(OR(K64&lt;&gt;INDEX('Métricas'!$K$5:$K$28,MATCH(A64,'Métricas'!$A$5:$A$28,0)),L64&lt;&gt;INDEX('Métricas'!$L$5:$L$28,MATCH(A64,'Métricas'!$A$5:$A$28,0)),N64&lt;&gt;INDEX('Métricas'!$H$5:$H$28,MATCH(A64,'Métricas'!$A$5:$A$28,0))),"CONTEXTO INCOMPATIBLE",IF(OR(R64&lt;=INDEX('Métricas'!$I$5:$I$28,MATCH(A64,'Métricas'!$A$5:$A$28,0)),S64&lt;=INDEX('Métricas'!$J$5:$J$28,MATCH(A64,'Métricas'!$A$5:$A$28,0))),"COMPATIBLE","FUERA DE TOLERANCIA")))</x:f>
        <x:v>PENDIENTE</x:v>
      </x:c>
    </x:row>
    <x:row r="65">
      <x:c r="A65" s="79" t="str">
        <x:v>AXC-BMK-CORNER-001|contact.gross-maximum</x:v>
      </x:c>
      <x:c r="B65" s="79" t="str">
        <x:v>corner</x:v>
      </x:c>
      <x:c r="C65" s="79" t="str">
        <x:v>Esquina biaxial</x:v>
      </x:c>
      <x:c r="D65" s="79" t="str">
        <x:v>AXC-BMK-CORNER-001</x:v>
      </x:c>
      <x:c r="E65" s="79" t="str">
        <x:v>contact.gross-maximum</x:v>
      </x:c>
      <x:c r="F65" s="79" t="str">
        <x:v>Referencia pública</x:v>
      </x:c>
      <x:c r="G65" s="79" t="str">
        <x:v>public-reference</x:v>
      </x:c>
      <x:c r="H65" s="106" t="str"/>
      <x:c r="I65" s="106" t="str"/>
      <x:c r="J65" s="106" t="str"/>
      <x:c r="K65" s="79" t="str">
        <x:v>NEC-2015-GUIDE-TRACEABLE</x:v>
      </x:c>
      <x:c r="L65" s="79" t="str">
        <x:v>AXC-CORNER-ASSUMPTIONS-001</x:v>
      </x:c>
      <x:c r="M65" s="107"/>
      <x:c r="N65" s="79" t="str">
        <x:v>kPa</x:v>
      </x:c>
      <x:c r="O65" s="106" t="str"/>
      <x:c r="P65" s="108"/>
      <x:c r="Q65" s="106" t="str"/>
      <x:c r="R65" s="80" t="str">
        <x:f>IF(M65="","",ABS(M65-INDEX('Métricas'!$G$5:$G$28,MATCH(A65,'Métricas'!$A$5:$A$28,0))))</x:f>
      </x:c>
      <x:c r="S65" s="88" t="str">
        <x:f>IF(M65="","",R65/MAX(ABS(M65),ABS(INDEX('Métricas'!$G$5:$G$28,MATCH(A65,'Métricas'!$A$5:$A$28,0))),1E-12))</x:f>
      </x:c>
      <x:c r="T65" s="79" t="str">
        <x:f>IF(OR(H65="",I65="",J65="",M65="",O65="",P65="",Q65=""),"PENDIENTE",IF(OR(K65&lt;&gt;INDEX('Métricas'!$K$5:$K$28,MATCH(A65,'Métricas'!$A$5:$A$28,0)),L65&lt;&gt;INDEX('Métricas'!$L$5:$L$28,MATCH(A65,'Métricas'!$A$5:$A$28,0)),N65&lt;&gt;INDEX('Métricas'!$H$5:$H$28,MATCH(A65,'Métricas'!$A$5:$A$28,0))),"CONTEXTO INCOMPATIBLE",IF(OR(R65&lt;=INDEX('Métricas'!$I$5:$I$28,MATCH(A65,'Métricas'!$A$5:$A$28,0)),S65&lt;=INDEX('Métricas'!$J$5:$J$28,MATCH(A65,'Métricas'!$A$5:$A$28,0))),"COMPATIBLE","FUERA DE TOLERANCIA")))</x:f>
        <x:v>PENDIENTE</x:v>
      </x:c>
    </x:row>
    <x:row r="66">
      <x:c r="A66" s="79" t="str">
        <x:v>AXC-BMK-CORNER-001|contact.gross-maximum</x:v>
      </x:c>
      <x:c r="B66" s="79" t="str">
        <x:v>corner</x:v>
      </x:c>
      <x:c r="C66" s="79" t="str">
        <x:v>Esquina biaxial</x:v>
      </x:c>
      <x:c r="D66" s="79" t="str">
        <x:v>AXC-BMK-CORNER-001</x:v>
      </x:c>
      <x:c r="E66" s="79" t="str">
        <x:v>contact.gross-maximum</x:v>
      </x:c>
      <x:c r="F66" s="79" t="str">
        <x:v>Software 1</x:v>
      </x:c>
      <x:c r="G66" s="79" t="str">
        <x:v>software</x:v>
      </x:c>
      <x:c r="H66" s="106" t="str"/>
      <x:c r="I66" s="106" t="str"/>
      <x:c r="J66" s="106" t="str"/>
      <x:c r="K66" s="79" t="str">
        <x:v>NEC-2015-GUIDE-TRACEABLE</x:v>
      </x:c>
      <x:c r="L66" s="79" t="str">
        <x:v>AXC-CORNER-ASSUMPTIONS-001</x:v>
      </x:c>
      <x:c r="M66" s="107"/>
      <x:c r="N66" s="79" t="str">
        <x:v>kPa</x:v>
      </x:c>
      <x:c r="O66" s="106" t="str"/>
      <x:c r="P66" s="108"/>
      <x:c r="Q66" s="106" t="str"/>
      <x:c r="R66" s="80" t="str">
        <x:f>IF(M66="","",ABS(M66-INDEX('Métricas'!$G$5:$G$28,MATCH(A66,'Métricas'!$A$5:$A$28,0))))</x:f>
      </x:c>
      <x:c r="S66" s="88" t="str">
        <x:f>IF(M66="","",R66/MAX(ABS(M66),ABS(INDEX('Métricas'!$G$5:$G$28,MATCH(A66,'Métricas'!$A$5:$A$28,0))),1E-12))</x:f>
      </x:c>
      <x:c r="T66" s="79" t="str">
        <x:f>IF(OR(H66="",I66="",J66="",M66="",O66="",P66="",Q66=""),"PENDIENTE",IF(OR(K66&lt;&gt;INDEX('Métricas'!$K$5:$K$28,MATCH(A66,'Métricas'!$A$5:$A$28,0)),L66&lt;&gt;INDEX('Métricas'!$L$5:$L$28,MATCH(A66,'Métricas'!$A$5:$A$28,0)),N66&lt;&gt;INDEX('Métricas'!$H$5:$H$28,MATCH(A66,'Métricas'!$A$5:$A$28,0))),"CONTEXTO INCOMPATIBLE",IF(OR(R66&lt;=INDEX('Métricas'!$I$5:$I$28,MATCH(A66,'Métricas'!$A$5:$A$28,0)),S66&lt;=INDEX('Métricas'!$J$5:$J$28,MATCH(A66,'Métricas'!$A$5:$A$28,0))),"COMPATIBLE","FUERA DE TOLERANCIA")))</x:f>
        <x:v>PENDIENTE</x:v>
      </x:c>
    </x:row>
    <x:row r="67">
      <x:c r="A67" s="79" t="str">
        <x:v>AXC-BMK-CORNER-001|contact.gross-maximum</x:v>
      </x:c>
      <x:c r="B67" s="79" t="str">
        <x:v>corner</x:v>
      </x:c>
      <x:c r="C67" s="79" t="str">
        <x:v>Esquina biaxial</x:v>
      </x:c>
      <x:c r="D67" s="79" t="str">
        <x:v>AXC-BMK-CORNER-001</x:v>
      </x:c>
      <x:c r="E67" s="79" t="str">
        <x:v>contact.gross-maximum</x:v>
      </x:c>
      <x:c r="F67" s="79" t="str">
        <x:v>Software 2</x:v>
      </x:c>
      <x:c r="G67" s="79" t="str">
        <x:v>software</x:v>
      </x:c>
      <x:c r="H67" s="106" t="str"/>
      <x:c r="I67" s="106" t="str"/>
      <x:c r="J67" s="106" t="str"/>
      <x:c r="K67" s="79" t="str">
        <x:v>NEC-2015-GUIDE-TRACEABLE</x:v>
      </x:c>
      <x:c r="L67" s="79" t="str">
        <x:v>AXC-CORNER-ASSUMPTIONS-001</x:v>
      </x:c>
      <x:c r="M67" s="107"/>
      <x:c r="N67" s="79" t="str">
        <x:v>kPa</x:v>
      </x:c>
      <x:c r="O67" s="106" t="str"/>
      <x:c r="P67" s="108"/>
      <x:c r="Q67" s="106" t="str"/>
      <x:c r="R67" s="80" t="str">
        <x:f>IF(M67="","",ABS(M67-INDEX('Métricas'!$G$5:$G$28,MATCH(A67,'Métricas'!$A$5:$A$28,0))))</x:f>
      </x:c>
      <x:c r="S67" s="88" t="str">
        <x:f>IF(M67="","",R67/MAX(ABS(M67),ABS(INDEX('Métricas'!$G$5:$G$28,MATCH(A67,'Métricas'!$A$5:$A$28,0))),1E-12))</x:f>
      </x:c>
      <x:c r="T67" s="79" t="str">
        <x:f>IF(OR(H67="",I67="",J67="",M67="",O67="",P67="",Q67=""),"PENDIENTE",IF(OR(K67&lt;&gt;INDEX('Métricas'!$K$5:$K$28,MATCH(A67,'Métricas'!$A$5:$A$28,0)),L67&lt;&gt;INDEX('Métricas'!$L$5:$L$28,MATCH(A67,'Métricas'!$A$5:$A$28,0)),N67&lt;&gt;INDEX('Métricas'!$H$5:$H$28,MATCH(A67,'Métricas'!$A$5:$A$28,0))),"CONTEXTO INCOMPATIBLE",IF(OR(R67&lt;=INDEX('Métricas'!$I$5:$I$28,MATCH(A67,'Métricas'!$A$5:$A$28,0)),S67&lt;=INDEX('Métricas'!$J$5:$J$28,MATCH(A67,'Métricas'!$A$5:$A$28,0))),"COMPATIBLE","FUERA DE TOLERANCIA")))</x:f>
        <x:v>PENDIENTE</x:v>
      </x:c>
    </x:row>
    <x:row r="68">
      <x:c r="A68" s="79" t="str">
        <x:v>AXC-BMK-MAT-001|contact.gross-average</x:v>
      </x:c>
      <x:c r="B68" s="79" t="str">
        <x:v>mat</x:v>
      </x:c>
      <x:c r="C68" s="79" t="str">
        <x:v>Losa de cimentación</x:v>
      </x:c>
      <x:c r="D68" s="79" t="str">
        <x:v>AXC-BMK-MAT-001</x:v>
      </x:c>
      <x:c r="E68" s="79" t="str">
        <x:v>contact.gross-average</x:v>
      </x:c>
      <x:c r="F68" s="79" t="str">
        <x:v>Referencia pública</x:v>
      </x:c>
      <x:c r="G68" s="79" t="str">
        <x:v>public-reference</x:v>
      </x:c>
      <x:c r="H68" s="106" t="str"/>
      <x:c r="I68" s="106" t="str"/>
      <x:c r="J68" s="106" t="str"/>
      <x:c r="K68" s="79" t="str">
        <x:v>NEC-2015-GUIDE-TRACEABLE</x:v>
      </x:c>
      <x:c r="L68" s="79" t="str">
        <x:v>AXC-MAT-ASSUMPTIONS-001</x:v>
      </x:c>
      <x:c r="M68" s="107"/>
      <x:c r="N68" s="79" t="str">
        <x:v>kPa</x:v>
      </x:c>
      <x:c r="O68" s="106" t="str"/>
      <x:c r="P68" s="108"/>
      <x:c r="Q68" s="106" t="str"/>
      <x:c r="R68" s="80" t="str">
        <x:f>IF(M68="","",ABS(M68-INDEX('Métricas'!$G$5:$G$28,MATCH(A68,'Métricas'!$A$5:$A$28,0))))</x:f>
      </x:c>
      <x:c r="S68" s="88" t="str">
        <x:f>IF(M68="","",R68/MAX(ABS(M68),ABS(INDEX('Métricas'!$G$5:$G$28,MATCH(A68,'Métricas'!$A$5:$A$28,0))),1E-12))</x:f>
      </x:c>
      <x:c r="T68" s="79" t="str">
        <x:f>IF(OR(H68="",I68="",J68="",M68="",O68="",P68="",Q68=""),"PENDIENTE",IF(OR(K68&lt;&gt;INDEX('Métricas'!$K$5:$K$28,MATCH(A68,'Métricas'!$A$5:$A$28,0)),L68&lt;&gt;INDEX('Métricas'!$L$5:$L$28,MATCH(A68,'Métricas'!$A$5:$A$28,0)),N68&lt;&gt;INDEX('Métricas'!$H$5:$H$28,MATCH(A68,'Métricas'!$A$5:$A$28,0))),"CONTEXTO INCOMPATIBLE",IF(OR(R68&lt;=INDEX('Métricas'!$I$5:$I$28,MATCH(A68,'Métricas'!$A$5:$A$28,0)),S68&lt;=INDEX('Métricas'!$J$5:$J$28,MATCH(A68,'Métricas'!$A$5:$A$28,0))),"COMPATIBLE","FUERA DE TOLERANCIA")))</x:f>
        <x:v>PENDIENTE</x:v>
      </x:c>
    </x:row>
    <x:row r="69">
      <x:c r="A69" s="79" t="str">
        <x:v>AXC-BMK-MAT-001|contact.gross-average</x:v>
      </x:c>
      <x:c r="B69" s="79" t="str">
        <x:v>mat</x:v>
      </x:c>
      <x:c r="C69" s="79" t="str">
        <x:v>Losa de cimentación</x:v>
      </x:c>
      <x:c r="D69" s="79" t="str">
        <x:v>AXC-BMK-MAT-001</x:v>
      </x:c>
      <x:c r="E69" s="79" t="str">
        <x:v>contact.gross-average</x:v>
      </x:c>
      <x:c r="F69" s="79" t="str">
        <x:v>Software 1</x:v>
      </x:c>
      <x:c r="G69" s="79" t="str">
        <x:v>software</x:v>
      </x:c>
      <x:c r="H69" s="106" t="str"/>
      <x:c r="I69" s="106" t="str"/>
      <x:c r="J69" s="106" t="str"/>
      <x:c r="K69" s="79" t="str">
        <x:v>NEC-2015-GUIDE-TRACEABLE</x:v>
      </x:c>
      <x:c r="L69" s="79" t="str">
        <x:v>AXC-MAT-ASSUMPTIONS-001</x:v>
      </x:c>
      <x:c r="M69" s="107"/>
      <x:c r="N69" s="79" t="str">
        <x:v>kPa</x:v>
      </x:c>
      <x:c r="O69" s="106" t="str"/>
      <x:c r="P69" s="108"/>
      <x:c r="Q69" s="106" t="str"/>
      <x:c r="R69" s="80" t="str">
        <x:f>IF(M69="","",ABS(M69-INDEX('Métricas'!$G$5:$G$28,MATCH(A69,'Métricas'!$A$5:$A$28,0))))</x:f>
      </x:c>
      <x:c r="S69" s="88" t="str">
        <x:f>IF(M69="","",R69/MAX(ABS(M69),ABS(INDEX('Métricas'!$G$5:$G$28,MATCH(A69,'Métricas'!$A$5:$A$28,0))),1E-12))</x:f>
      </x:c>
      <x:c r="T69" s="79" t="str">
        <x:f>IF(OR(H69="",I69="",J69="",M69="",O69="",P69="",Q69=""),"PENDIENTE",IF(OR(K69&lt;&gt;INDEX('Métricas'!$K$5:$K$28,MATCH(A69,'Métricas'!$A$5:$A$28,0)),L69&lt;&gt;INDEX('Métricas'!$L$5:$L$28,MATCH(A69,'Métricas'!$A$5:$A$28,0)),N69&lt;&gt;INDEX('Métricas'!$H$5:$H$28,MATCH(A69,'Métricas'!$A$5:$A$28,0))),"CONTEXTO INCOMPATIBLE",IF(OR(R69&lt;=INDEX('Métricas'!$I$5:$I$28,MATCH(A69,'Métricas'!$A$5:$A$28,0)),S69&lt;=INDEX('Métricas'!$J$5:$J$28,MATCH(A69,'Métricas'!$A$5:$A$28,0))),"COMPATIBLE","FUERA DE TOLERANCIA")))</x:f>
        <x:v>PENDIENTE</x:v>
      </x:c>
    </x:row>
    <x:row r="70">
      <x:c r="A70" s="79" t="str">
        <x:v>AXC-BMK-MAT-001|contact.gross-average</x:v>
      </x:c>
      <x:c r="B70" s="79" t="str">
        <x:v>mat</x:v>
      </x:c>
      <x:c r="C70" s="79" t="str">
        <x:v>Losa de cimentación</x:v>
      </x:c>
      <x:c r="D70" s="79" t="str">
        <x:v>AXC-BMK-MAT-001</x:v>
      </x:c>
      <x:c r="E70" s="79" t="str">
        <x:v>contact.gross-average</x:v>
      </x:c>
      <x:c r="F70" s="79" t="str">
        <x:v>Software 2</x:v>
      </x:c>
      <x:c r="G70" s="79" t="str">
        <x:v>software</x:v>
      </x:c>
      <x:c r="H70" s="106" t="str"/>
      <x:c r="I70" s="106" t="str"/>
      <x:c r="J70" s="106" t="str"/>
      <x:c r="K70" s="79" t="str">
        <x:v>NEC-2015-GUIDE-TRACEABLE</x:v>
      </x:c>
      <x:c r="L70" s="79" t="str">
        <x:v>AXC-MAT-ASSUMPTIONS-001</x:v>
      </x:c>
      <x:c r="M70" s="107"/>
      <x:c r="N70" s="79" t="str">
        <x:v>kPa</x:v>
      </x:c>
      <x:c r="O70" s="106" t="str"/>
      <x:c r="P70" s="108"/>
      <x:c r="Q70" s="106" t="str"/>
      <x:c r="R70" s="80" t="str">
        <x:f>IF(M70="","",ABS(M70-INDEX('Métricas'!$G$5:$G$28,MATCH(A70,'Métricas'!$A$5:$A$28,0))))</x:f>
      </x:c>
      <x:c r="S70" s="88" t="str">
        <x:f>IF(M70="","",R70/MAX(ABS(M70),ABS(INDEX('Métricas'!$G$5:$G$28,MATCH(A70,'Métricas'!$A$5:$A$28,0))),1E-12))</x:f>
      </x:c>
      <x:c r="T70" s="79" t="str">
        <x:f>IF(OR(H70="",I70="",J70="",M70="",O70="",P70="",Q70=""),"PENDIENTE",IF(OR(K70&lt;&gt;INDEX('Métricas'!$K$5:$K$28,MATCH(A70,'Métricas'!$A$5:$A$28,0)),L70&lt;&gt;INDEX('Métricas'!$L$5:$L$28,MATCH(A70,'Métricas'!$A$5:$A$28,0)),N70&lt;&gt;INDEX('Métricas'!$H$5:$H$28,MATCH(A70,'Métricas'!$A$5:$A$28,0))),"CONTEXTO INCOMPATIBLE",IF(OR(R70&lt;=INDEX('Métricas'!$I$5:$I$28,MATCH(A70,'Métricas'!$A$5:$A$28,0)),S70&lt;=INDEX('Métricas'!$J$5:$J$28,MATCH(A70,'Métricas'!$A$5:$A$28,0))),"COMPATIBLE","FUERA DE TOLERANCIA")))</x:f>
        <x:v>PENDIENTE</x:v>
      </x:c>
    </x:row>
    <x:row r="71">
      <x:c r="A71" s="79" t="str">
        <x:v>AXC-BMK-MAT-001|contact.gross-minimum</x:v>
      </x:c>
      <x:c r="B71" s="79" t="str">
        <x:v>mat</x:v>
      </x:c>
      <x:c r="C71" s="79" t="str">
        <x:v>Losa de cimentación</x:v>
      </x:c>
      <x:c r="D71" s="79" t="str">
        <x:v>AXC-BMK-MAT-001</x:v>
      </x:c>
      <x:c r="E71" s="79" t="str">
        <x:v>contact.gross-minimum</x:v>
      </x:c>
      <x:c r="F71" s="79" t="str">
        <x:v>Referencia pública</x:v>
      </x:c>
      <x:c r="G71" s="79" t="str">
        <x:v>public-reference</x:v>
      </x:c>
      <x:c r="H71" s="106" t="str"/>
      <x:c r="I71" s="106" t="str"/>
      <x:c r="J71" s="106" t="str"/>
      <x:c r="K71" s="79" t="str">
        <x:v>NEC-2015-GUIDE-TRACEABLE</x:v>
      </x:c>
      <x:c r="L71" s="79" t="str">
        <x:v>AXC-MAT-ASSUMPTIONS-001</x:v>
      </x:c>
      <x:c r="M71" s="107"/>
      <x:c r="N71" s="79" t="str">
        <x:v>kPa</x:v>
      </x:c>
      <x:c r="O71" s="106" t="str"/>
      <x:c r="P71" s="108"/>
      <x:c r="Q71" s="106" t="str"/>
      <x:c r="R71" s="80" t="str">
        <x:f>IF(M71="","",ABS(M71-INDEX('Métricas'!$G$5:$G$28,MATCH(A71,'Métricas'!$A$5:$A$28,0))))</x:f>
      </x:c>
      <x:c r="S71" s="88" t="str">
        <x:f>IF(M71="","",R71/MAX(ABS(M71),ABS(INDEX('Métricas'!$G$5:$G$28,MATCH(A71,'Métricas'!$A$5:$A$28,0))),1E-12))</x:f>
      </x:c>
      <x:c r="T71" s="79" t="str">
        <x:f>IF(OR(H71="",I71="",J71="",M71="",O71="",P71="",Q71=""),"PENDIENTE",IF(OR(K71&lt;&gt;INDEX('Métricas'!$K$5:$K$28,MATCH(A71,'Métricas'!$A$5:$A$28,0)),L71&lt;&gt;INDEX('Métricas'!$L$5:$L$28,MATCH(A71,'Métricas'!$A$5:$A$28,0)),N71&lt;&gt;INDEX('Métricas'!$H$5:$H$28,MATCH(A71,'Métricas'!$A$5:$A$28,0))),"CONTEXTO INCOMPATIBLE",IF(OR(R71&lt;=INDEX('Métricas'!$I$5:$I$28,MATCH(A71,'Métricas'!$A$5:$A$28,0)),S71&lt;=INDEX('Métricas'!$J$5:$J$28,MATCH(A71,'Métricas'!$A$5:$A$28,0))),"COMPATIBLE","FUERA DE TOLERANCIA")))</x:f>
        <x:v>PENDIENTE</x:v>
      </x:c>
    </x:row>
    <x:row r="72">
      <x:c r="A72" s="79" t="str">
        <x:v>AXC-BMK-MAT-001|contact.gross-minimum</x:v>
      </x:c>
      <x:c r="B72" s="79" t="str">
        <x:v>mat</x:v>
      </x:c>
      <x:c r="C72" s="79" t="str">
        <x:v>Losa de cimentación</x:v>
      </x:c>
      <x:c r="D72" s="79" t="str">
        <x:v>AXC-BMK-MAT-001</x:v>
      </x:c>
      <x:c r="E72" s="79" t="str">
        <x:v>contact.gross-minimum</x:v>
      </x:c>
      <x:c r="F72" s="79" t="str">
        <x:v>Software 1</x:v>
      </x:c>
      <x:c r="G72" s="79" t="str">
        <x:v>software</x:v>
      </x:c>
      <x:c r="H72" s="106" t="str"/>
      <x:c r="I72" s="106" t="str"/>
      <x:c r="J72" s="106" t="str"/>
      <x:c r="K72" s="79" t="str">
        <x:v>NEC-2015-GUIDE-TRACEABLE</x:v>
      </x:c>
      <x:c r="L72" s="79" t="str">
        <x:v>AXC-MAT-ASSUMPTIONS-001</x:v>
      </x:c>
      <x:c r="M72" s="107"/>
      <x:c r="N72" s="79" t="str">
        <x:v>kPa</x:v>
      </x:c>
      <x:c r="O72" s="106" t="str"/>
      <x:c r="P72" s="108"/>
      <x:c r="Q72" s="106" t="str"/>
      <x:c r="R72" s="80" t="str">
        <x:f>IF(M72="","",ABS(M72-INDEX('Métricas'!$G$5:$G$28,MATCH(A72,'Métricas'!$A$5:$A$28,0))))</x:f>
      </x:c>
      <x:c r="S72" s="88" t="str">
        <x:f>IF(M72="","",R72/MAX(ABS(M72),ABS(INDEX('Métricas'!$G$5:$G$28,MATCH(A72,'Métricas'!$A$5:$A$28,0))),1E-12))</x:f>
      </x:c>
      <x:c r="T72" s="79" t="str">
        <x:f>IF(OR(H72="",I72="",J72="",M72="",O72="",P72="",Q72=""),"PENDIENTE",IF(OR(K72&lt;&gt;INDEX('Métricas'!$K$5:$K$28,MATCH(A72,'Métricas'!$A$5:$A$28,0)),L72&lt;&gt;INDEX('Métricas'!$L$5:$L$28,MATCH(A72,'Métricas'!$A$5:$A$28,0)),N72&lt;&gt;INDEX('Métricas'!$H$5:$H$28,MATCH(A72,'Métricas'!$A$5:$A$28,0))),"CONTEXTO INCOMPATIBLE",IF(OR(R72&lt;=INDEX('Métricas'!$I$5:$I$28,MATCH(A72,'Métricas'!$A$5:$A$28,0)),S72&lt;=INDEX('Métricas'!$J$5:$J$28,MATCH(A72,'Métricas'!$A$5:$A$28,0))),"COMPATIBLE","FUERA DE TOLERANCIA")))</x:f>
        <x:v>PENDIENTE</x:v>
      </x:c>
    </x:row>
    <x:row r="73">
      <x:c r="A73" s="79" t="str">
        <x:v>AXC-BMK-MAT-001|contact.gross-minimum</x:v>
      </x:c>
      <x:c r="B73" s="79" t="str">
        <x:v>mat</x:v>
      </x:c>
      <x:c r="C73" s="79" t="str">
        <x:v>Losa de cimentación</x:v>
      </x:c>
      <x:c r="D73" s="79" t="str">
        <x:v>AXC-BMK-MAT-001</x:v>
      </x:c>
      <x:c r="E73" s="79" t="str">
        <x:v>contact.gross-minimum</x:v>
      </x:c>
      <x:c r="F73" s="79" t="str">
        <x:v>Software 2</x:v>
      </x:c>
      <x:c r="G73" s="79" t="str">
        <x:v>software</x:v>
      </x:c>
      <x:c r="H73" s="106" t="str"/>
      <x:c r="I73" s="106" t="str"/>
      <x:c r="J73" s="106" t="str"/>
      <x:c r="K73" s="79" t="str">
        <x:v>NEC-2015-GUIDE-TRACEABLE</x:v>
      </x:c>
      <x:c r="L73" s="79" t="str">
        <x:v>AXC-MAT-ASSUMPTIONS-001</x:v>
      </x:c>
      <x:c r="M73" s="107"/>
      <x:c r="N73" s="79" t="str">
        <x:v>kPa</x:v>
      </x:c>
      <x:c r="O73" s="106" t="str"/>
      <x:c r="P73" s="108"/>
      <x:c r="Q73" s="106" t="str"/>
      <x:c r="R73" s="80" t="str">
        <x:f>IF(M73="","",ABS(M73-INDEX('Métricas'!$G$5:$G$28,MATCH(A73,'Métricas'!$A$5:$A$28,0))))</x:f>
      </x:c>
      <x:c r="S73" s="88" t="str">
        <x:f>IF(M73="","",R73/MAX(ABS(M73),ABS(INDEX('Métricas'!$G$5:$G$28,MATCH(A73,'Métricas'!$A$5:$A$28,0))),1E-12))</x:f>
      </x:c>
      <x:c r="T73" s="79" t="str">
        <x:f>IF(OR(H73="",I73="",J73="",M73="",O73="",P73="",Q73=""),"PENDIENTE",IF(OR(K73&lt;&gt;INDEX('Métricas'!$K$5:$K$28,MATCH(A73,'Métricas'!$A$5:$A$28,0)),L73&lt;&gt;INDEX('Métricas'!$L$5:$L$28,MATCH(A73,'Métricas'!$A$5:$A$28,0)),N73&lt;&gt;INDEX('Métricas'!$H$5:$H$28,MATCH(A73,'Métricas'!$A$5:$A$28,0))),"CONTEXTO INCOMPATIBLE",IF(OR(R73&lt;=INDEX('Métricas'!$I$5:$I$28,MATCH(A73,'Métricas'!$A$5:$A$28,0)),S73&lt;=INDEX('Métricas'!$J$5:$J$28,MATCH(A73,'Métricas'!$A$5:$A$28,0))),"COMPATIBLE","FUERA DE TOLERANCIA")))</x:f>
        <x:v>PENDIENTE</x:v>
      </x:c>
    </x:row>
    <x:row r="74">
      <x:c r="A74" s="79" t="str">
        <x:v>AXC-BMK-MAT-001|contact.gross-maximum</x:v>
      </x:c>
      <x:c r="B74" s="79" t="str">
        <x:v>mat</x:v>
      </x:c>
      <x:c r="C74" s="79" t="str">
        <x:v>Losa de cimentación</x:v>
      </x:c>
      <x:c r="D74" s="79" t="str">
        <x:v>AXC-BMK-MAT-001</x:v>
      </x:c>
      <x:c r="E74" s="79" t="str">
        <x:v>contact.gross-maximum</x:v>
      </x:c>
      <x:c r="F74" s="79" t="str">
        <x:v>Referencia pública</x:v>
      </x:c>
      <x:c r="G74" s="79" t="str">
        <x:v>public-reference</x:v>
      </x:c>
      <x:c r="H74" s="106" t="str"/>
      <x:c r="I74" s="106" t="str"/>
      <x:c r="J74" s="106" t="str"/>
      <x:c r="K74" s="79" t="str">
        <x:v>NEC-2015-GUIDE-TRACEABLE</x:v>
      </x:c>
      <x:c r="L74" s="79" t="str">
        <x:v>AXC-MAT-ASSUMPTIONS-001</x:v>
      </x:c>
      <x:c r="M74" s="107"/>
      <x:c r="N74" s="79" t="str">
        <x:v>kPa</x:v>
      </x:c>
      <x:c r="O74" s="106" t="str"/>
      <x:c r="P74" s="108"/>
      <x:c r="Q74" s="106" t="str"/>
      <x:c r="R74" s="80" t="str">
        <x:f>IF(M74="","",ABS(M74-INDEX('Métricas'!$G$5:$G$28,MATCH(A74,'Métricas'!$A$5:$A$28,0))))</x:f>
      </x:c>
      <x:c r="S74" s="88" t="str">
        <x:f>IF(M74="","",R74/MAX(ABS(M74),ABS(INDEX('Métricas'!$G$5:$G$28,MATCH(A74,'Métricas'!$A$5:$A$28,0))),1E-12))</x:f>
      </x:c>
      <x:c r="T74" s="79" t="str">
        <x:f>IF(OR(H74="",I74="",J74="",M74="",O74="",P74="",Q74=""),"PENDIENTE",IF(OR(K74&lt;&gt;INDEX('Métricas'!$K$5:$K$28,MATCH(A74,'Métricas'!$A$5:$A$28,0)),L74&lt;&gt;INDEX('Métricas'!$L$5:$L$28,MATCH(A74,'Métricas'!$A$5:$A$28,0)),N74&lt;&gt;INDEX('Métricas'!$H$5:$H$28,MATCH(A74,'Métricas'!$A$5:$A$28,0))),"CONTEXTO INCOMPATIBLE",IF(OR(R74&lt;=INDEX('Métricas'!$I$5:$I$28,MATCH(A74,'Métricas'!$A$5:$A$28,0)),S74&lt;=INDEX('Métricas'!$J$5:$J$28,MATCH(A74,'Métricas'!$A$5:$A$28,0))),"COMPATIBLE","FUERA DE TOLERANCIA")))</x:f>
        <x:v>PENDIENTE</x:v>
      </x:c>
    </x:row>
    <x:row r="75">
      <x:c r="A75" s="79" t="str">
        <x:v>AXC-BMK-MAT-001|contact.gross-maximum</x:v>
      </x:c>
      <x:c r="B75" s="79" t="str">
        <x:v>mat</x:v>
      </x:c>
      <x:c r="C75" s="79" t="str">
        <x:v>Losa de cimentación</x:v>
      </x:c>
      <x:c r="D75" s="79" t="str">
        <x:v>AXC-BMK-MAT-001</x:v>
      </x:c>
      <x:c r="E75" s="79" t="str">
        <x:v>contact.gross-maximum</x:v>
      </x:c>
      <x:c r="F75" s="79" t="str">
        <x:v>Software 1</x:v>
      </x:c>
      <x:c r="G75" s="79" t="str">
        <x:v>software</x:v>
      </x:c>
      <x:c r="H75" s="106" t="str"/>
      <x:c r="I75" s="106" t="str"/>
      <x:c r="J75" s="106" t="str"/>
      <x:c r="K75" s="79" t="str">
        <x:v>NEC-2015-GUIDE-TRACEABLE</x:v>
      </x:c>
      <x:c r="L75" s="79" t="str">
        <x:v>AXC-MAT-ASSUMPTIONS-001</x:v>
      </x:c>
      <x:c r="M75" s="107"/>
      <x:c r="N75" s="79" t="str">
        <x:v>kPa</x:v>
      </x:c>
      <x:c r="O75" s="106" t="str"/>
      <x:c r="P75" s="108"/>
      <x:c r="Q75" s="106" t="str"/>
      <x:c r="R75" s="80" t="str">
        <x:f>IF(M75="","",ABS(M75-INDEX('Métricas'!$G$5:$G$28,MATCH(A75,'Métricas'!$A$5:$A$28,0))))</x:f>
      </x:c>
      <x:c r="S75" s="88" t="str">
        <x:f>IF(M75="","",R75/MAX(ABS(M75),ABS(INDEX('Métricas'!$G$5:$G$28,MATCH(A75,'Métricas'!$A$5:$A$28,0))),1E-12))</x:f>
      </x:c>
      <x:c r="T75" s="79" t="str">
        <x:f>IF(OR(H75="",I75="",J75="",M75="",O75="",P75="",Q75=""),"PENDIENTE",IF(OR(K75&lt;&gt;INDEX('Métricas'!$K$5:$K$28,MATCH(A75,'Métricas'!$A$5:$A$28,0)),L75&lt;&gt;INDEX('Métricas'!$L$5:$L$28,MATCH(A75,'Métricas'!$A$5:$A$28,0)),N75&lt;&gt;INDEX('Métricas'!$H$5:$H$28,MATCH(A75,'Métricas'!$A$5:$A$28,0))),"CONTEXTO INCOMPATIBLE",IF(OR(R75&lt;=INDEX('Métricas'!$I$5:$I$28,MATCH(A75,'Métricas'!$A$5:$A$28,0)),S75&lt;=INDEX('Métricas'!$J$5:$J$28,MATCH(A75,'Métricas'!$A$5:$A$28,0))),"COMPATIBLE","FUERA DE TOLERANCIA")))</x:f>
        <x:v>PENDIENTE</x:v>
      </x:c>
    </x:row>
    <x:row r="76">
      <x:c r="A76" s="81" t="str">
        <x:v>AXC-BMK-MAT-001|contact.gross-maximum</x:v>
      </x:c>
      <x:c r="B76" s="81" t="str">
        <x:v>mat</x:v>
      </x:c>
      <x:c r="C76" s="81" t="str">
        <x:v>Losa de cimentación</x:v>
      </x:c>
      <x:c r="D76" s="81" t="str">
        <x:v>AXC-BMK-MAT-001</x:v>
      </x:c>
      <x:c r="E76" s="81" t="str">
        <x:v>contact.gross-maximum</x:v>
      </x:c>
      <x:c r="F76" s="81" t="str">
        <x:v>Software 2</x:v>
      </x:c>
      <x:c r="G76" s="81" t="str">
        <x:v>software</x:v>
      </x:c>
      <x:c r="H76" s="109" t="str"/>
      <x:c r="I76" s="109" t="str"/>
      <x:c r="J76" s="109" t="str"/>
      <x:c r="K76" s="81" t="str">
        <x:v>NEC-2015-GUIDE-TRACEABLE</x:v>
      </x:c>
      <x:c r="L76" s="81" t="str">
        <x:v>AXC-MAT-ASSUMPTIONS-001</x:v>
      </x:c>
      <x:c r="M76" s="110"/>
      <x:c r="N76" s="81" t="str">
        <x:v>kPa</x:v>
      </x:c>
      <x:c r="O76" s="109" t="str"/>
      <x:c r="P76" s="111"/>
      <x:c r="Q76" s="109" t="str"/>
      <x:c r="R76" s="82" t="str">
        <x:f>IF(M76="","",ABS(M76-INDEX('Métricas'!$G$5:$G$28,MATCH(A76,'Métricas'!$A$5:$A$28,0))))</x:f>
      </x:c>
      <x:c r="S76" s="89" t="str">
        <x:f>IF(M76="","",R76/MAX(ABS(M76),ABS(INDEX('Métricas'!$G$5:$G$28,MATCH(A76,'Métricas'!$A$5:$A$28,0))),1E-12))</x:f>
      </x:c>
      <x:c r="T76" s="81" t="str">
        <x:f>IF(OR(H76="",I76="",J76="",M76="",O76="",P76="",Q76=""),"PENDIENTE",IF(OR(K76&lt;&gt;INDEX('Métricas'!$K$5:$K$28,MATCH(A76,'Métricas'!$A$5:$A$28,0)),L76&lt;&gt;INDEX('Métricas'!$L$5:$L$28,MATCH(A76,'Métricas'!$A$5:$A$28,0)),N76&lt;&gt;INDEX('Métricas'!$H$5:$H$28,MATCH(A76,'Métricas'!$A$5:$A$28,0))),"CONTEXTO INCOMPATIBLE",IF(OR(R76&lt;=INDEX('Métricas'!$I$5:$I$28,MATCH(A76,'Métricas'!$A$5:$A$28,0)),S76&lt;=INDEX('Métricas'!$J$5:$J$28,MATCH(A76,'Métricas'!$A$5:$A$28,0))),"COMPATIBLE","FUERA DE TOLERANCIA")))</x:f>
        <x:v>PENDIENTE</x:v>
      </x:c>
    </x:row>
  </x:sheetData>
  <x:mergeCells>
    <x:mergeCell ref="A1:T1"/>
    <x:mergeCell ref="A2:T2"/>
  </x:mergeCells>
  <x:conditionalFormatting sqref="T5:T76">
    <x:cfRule type="containsText" dxfId="3" priority="1" operator="containsText" text="PENDIENTE"/>
    <x:cfRule type="containsText" dxfId="4" priority="2" operator="containsText" text="COMPATIBLE"/>
    <x:cfRule type="containsText" dxfId="5" priority="3" operator="containsText" text="FUERA"/>
    <x:cfRule type="containsText" dxfId="6" priority="4" operator="containsText" text="INCOMPATIBLE"/>
  </x:conditionalFormatting>
  <x:dataValidations count="1">
    <x:dataValidation type="list" sqref="G5:G76">
      <x:formula1>"public-reference,independent-calculation,software"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6b31c314d24fce"/>
  </x:tableParts>
</x:worksheet>
</file>